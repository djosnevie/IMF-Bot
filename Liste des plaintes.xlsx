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drawings/drawing2.xml" ContentType="application/vnd.openxmlformats-officedocument.drawing+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130"/>
  <workbookPr filterPrivacy="1" codeName="ThisWorkbook"/>
  <xr:revisionPtr revIDLastSave="0" documentId="8_{9750C371-E498-488E-BB58-CC9B4CAC4CA8}" xr6:coauthVersionLast="47" xr6:coauthVersionMax="47" xr10:uidLastSave="{00000000-0000-0000-0000-000000000000}"/>
  <bookViews>
    <workbookView xWindow="-98" yWindow="-98" windowWidth="19396" windowHeight="10276" xr2:uid="{00000000-000D-0000-FFFF-FFFF00000000}"/>
  </bookViews>
  <sheets>
    <sheet name="Inventory list" sheetId="2" r:id="rId1"/>
    <sheet name="Inventory pick list" sheetId="11" r:id="rId2"/>
    <sheet name="Bin lookup" sheetId="9" r:id="rId3"/>
  </sheets>
  <definedNames>
    <definedName name="BinNumber">BinLookup[BIN '#]</definedName>
    <definedName name="ColumnTitle1">InventoryList[[#Headers],[DESCRIPTION]]</definedName>
    <definedName name="ColumnTitle2">InventoryPickList[[#Headers],[ORDER '#]]</definedName>
    <definedName name="ColumnTitle3">BinLookup[[#Headers],[BIN '#]]</definedName>
    <definedName name="_xlnm.Print_Titles" localSheetId="2">'Bin lookup'!$3:$3</definedName>
    <definedName name="_xlnm.Print_Titles" localSheetId="0">'Inventory list'!$3:$3</definedName>
    <definedName name="_xlnm.Print_Titles" localSheetId="1">'Inventory pick list'!$3:$3</definedName>
    <definedName name="SKULookup">InventoryList[DESCRIPTION]</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8" i="11" l="1"/>
  <c r="H7" i="11"/>
  <c r="H6" i="11"/>
  <c r="H5" i="11"/>
  <c r="H4" i="11"/>
  <c r="G8" i="11"/>
  <c r="G7" i="11"/>
  <c r="G6" i="11"/>
  <c r="G5" i="11"/>
  <c r="G4" i="11"/>
  <c r="F8" i="11"/>
  <c r="F7" i="11"/>
  <c r="F6" i="11"/>
  <c r="F5" i="11"/>
  <c r="F4" i="11"/>
  <c r="E7" i="11" l="1"/>
  <c r="I7" i="11"/>
  <c r="E6" i="11"/>
  <c r="I6" i="11"/>
  <c r="E5" i="11"/>
  <c r="I5" i="11"/>
  <c r="E8" i="11"/>
  <c r="I8" i="11"/>
  <c r="E4" i="11"/>
  <c r="I4" i="11"/>
</calcChain>
</file>

<file path=xl/sharedStrings.xml><?xml version="1.0" encoding="utf-8"?>
<sst xmlns="http://schemas.openxmlformats.org/spreadsheetml/2006/main" count="231" uniqueCount="132">
  <si>
    <t>SKU</t>
  </si>
  <si>
    <t>DESCRIPTION</t>
  </si>
  <si>
    <t>BIN #</t>
  </si>
  <si>
    <t>LOCATION</t>
  </si>
  <si>
    <t>UNIT</t>
  </si>
  <si>
    <t>SP7875</t>
  </si>
  <si>
    <t>T345</t>
  </si>
  <si>
    <t>MK676554</t>
  </si>
  <si>
    <t>T5789</t>
  </si>
  <si>
    <t>YE98767</t>
  </si>
  <si>
    <t>T9876</t>
  </si>
  <si>
    <t>T098</t>
  </si>
  <si>
    <t>BM87684</t>
  </si>
  <si>
    <t>T349</t>
  </si>
  <si>
    <t>T9875</t>
  </si>
  <si>
    <t>TS3456</t>
  </si>
  <si>
    <t>INVENTORY PICK LIST</t>
  </si>
  <si>
    <t>ORDER #</t>
  </si>
  <si>
    <t>PICK QTY</t>
  </si>
  <si>
    <t>QTY AVAILABLE</t>
  </si>
  <si>
    <t>ITEM DESCRIPTION</t>
  </si>
  <si>
    <t>TP001-1</t>
  </si>
  <si>
    <t>BIN LOOKUP</t>
  </si>
  <si>
    <t>WIDTH</t>
  </si>
  <si>
    <t>HEIGHT</t>
  </si>
  <si>
    <t>LENGTH</t>
  </si>
  <si>
    <t>Large bin</t>
  </si>
  <si>
    <t>Row 2, slot 1</t>
  </si>
  <si>
    <t>Small bin</t>
  </si>
  <si>
    <t>Row 1, slot 1</t>
  </si>
  <si>
    <t>Row 3, slot 2</t>
  </si>
  <si>
    <t>Medium bin</t>
  </si>
  <si>
    <t>Row 3, slot 1</t>
  </si>
  <si>
    <t>Row 1, slot 2</t>
  </si>
  <si>
    <t>Row 4, slot 5</t>
  </si>
  <si>
    <t>Row 2, slot 2</t>
  </si>
  <si>
    <t>LISTE DES PLAINTES</t>
  </si>
  <si>
    <t>NUMERO</t>
  </si>
  <si>
    <t>NOM</t>
  </si>
  <si>
    <t>SITUATION</t>
  </si>
  <si>
    <t>TYPE DE PLAINTE</t>
  </si>
  <si>
    <t>#259</t>
  </si>
  <si>
    <t>FERME</t>
  </si>
  <si>
    <t>VICTORINE O.</t>
  </si>
  <si>
    <t>REPORT</t>
  </si>
  <si>
    <t>La cliente souhaite avoir un report dans son nouveau carnet.</t>
  </si>
  <si>
    <t>#260</t>
  </si>
  <si>
    <t>YVONNE O.</t>
  </si>
  <si>
    <t>OUVERT</t>
  </si>
  <si>
    <t>#261</t>
  </si>
  <si>
    <t>TSHILOMBO</t>
  </si>
  <si>
    <t>MANQUANT SUR LE COMPTE</t>
  </si>
  <si>
    <t>#262</t>
  </si>
  <si>
    <t>CHARLES L.</t>
  </si>
  <si>
    <t>Le client reclame un montant de 275$.</t>
  </si>
  <si>
    <t>#263</t>
  </si>
  <si>
    <t>LAURENE K.</t>
  </si>
  <si>
    <t>La cliente reclame un montant de 10.000FC</t>
  </si>
  <si>
    <t>#264</t>
  </si>
  <si>
    <t>KEVINE N.</t>
  </si>
  <si>
    <t>PLAINTE LIKELEMBA</t>
  </si>
  <si>
    <t>Manque de suivi pour rejoindre un groupe Likelemba.</t>
  </si>
  <si>
    <t>PLAINTE CREDIT</t>
  </si>
  <si>
    <t>#265</t>
  </si>
  <si>
    <t>FRANCINE H.</t>
  </si>
  <si>
    <t>Manque de suivi suite à une demande de crédit Dare Dare.</t>
  </si>
  <si>
    <t>#266</t>
  </si>
  <si>
    <t>DEMANDE</t>
  </si>
  <si>
    <t>Le client veut savoir le nombre de depots efféctué dans son compte depuis l'ouverture.</t>
  </si>
  <si>
    <t>#267</t>
  </si>
  <si>
    <t>La cliente n'a pas eu de suite concernant l'adhésion dans un groupe Likelemba</t>
  </si>
  <si>
    <t>GINA M.</t>
  </si>
  <si>
    <t>#268</t>
  </si>
  <si>
    <t>YANNICK G.</t>
  </si>
  <si>
    <t>PLAINTE</t>
  </si>
  <si>
    <t>Le client a un compte qui a été bani.</t>
  </si>
  <si>
    <t>#269</t>
  </si>
  <si>
    <t>EVELINE N.</t>
  </si>
  <si>
    <t xml:space="preserve">RECLAMATION DE CAUTION </t>
  </si>
  <si>
    <t>La cliente reclame sa caution de 2.100$.</t>
  </si>
  <si>
    <t>#270</t>
  </si>
  <si>
    <t>BILLY N.</t>
  </si>
  <si>
    <t>Le client constate un manquant de 110$ dans son compte.</t>
  </si>
  <si>
    <t>#271</t>
  </si>
  <si>
    <t>MERVEILLE M.</t>
  </si>
  <si>
    <t>Pas de suite sur un besoin de crédit Likelemba.</t>
  </si>
  <si>
    <t>#272</t>
  </si>
  <si>
    <t>ANTOINETTE L.</t>
  </si>
  <si>
    <t>La cliente a perdue son carnet et souhaite avoir un report dans son nouveau carnet.</t>
  </si>
  <si>
    <t>#273</t>
  </si>
  <si>
    <t>ESTHER N.</t>
  </si>
  <si>
    <t>#274</t>
  </si>
  <si>
    <t>ESTHER M.</t>
  </si>
  <si>
    <t>#275</t>
  </si>
  <si>
    <t>FRANCOIS K.</t>
  </si>
  <si>
    <t>Le client a pris un crédit Likelemba et devait recevoir son argent afin de rembourser. Pas de suite.</t>
  </si>
  <si>
    <t>#276</t>
  </si>
  <si>
    <t>ANGE T.</t>
  </si>
  <si>
    <t>#277</t>
  </si>
  <si>
    <t>BELEYANSE K.</t>
  </si>
  <si>
    <t>La cliente n'a pas reçu son argent prévu au mois de Mars.</t>
  </si>
  <si>
    <t>#278</t>
  </si>
  <si>
    <t>THERESE B.</t>
  </si>
  <si>
    <t>La cliente a fait une mise de 500$ mais n'a toujours pas reçu son argent.</t>
  </si>
  <si>
    <t>#279</t>
  </si>
  <si>
    <t>LEATICIA M.</t>
  </si>
  <si>
    <t>La cliente constate un manquant sur son compte.</t>
  </si>
  <si>
    <t>#280</t>
  </si>
  <si>
    <t>PATIENCE M.</t>
  </si>
  <si>
    <t>ECART DE SOLDE</t>
  </si>
  <si>
    <t>Le solde dans le compte et celui affiché dans les SMS ne corréspondent pas.</t>
  </si>
  <si>
    <t>#281</t>
  </si>
  <si>
    <t>ANNE L.</t>
  </si>
  <si>
    <t>#282</t>
  </si>
  <si>
    <t>OMER B.</t>
  </si>
  <si>
    <t>Le client souhaite avoir un report dans son nouveau carnet Bwakisa carte.</t>
  </si>
  <si>
    <t>#283</t>
  </si>
  <si>
    <t>ISRAEL F.</t>
  </si>
  <si>
    <t>Le client constate un manquant de 100$ dans son compte.</t>
  </si>
  <si>
    <t>Preparé Par Stella Alpha Ndombeson</t>
  </si>
  <si>
    <t>PERSONNE A INTERVENIR</t>
  </si>
  <si>
    <t>Mr JEREMIE</t>
  </si>
  <si>
    <t>Mr JUSTIN</t>
  </si>
  <si>
    <t>Mr tarciss</t>
  </si>
  <si>
    <t>TELEPHONE</t>
  </si>
  <si>
    <t>+243 818 277 371</t>
  </si>
  <si>
    <t>+243 818 277 372</t>
  </si>
  <si>
    <t>+243 818 277 373</t>
  </si>
  <si>
    <t>+243 818 277 374</t>
  </si>
  <si>
    <t>+243 818 277 375</t>
  </si>
  <si>
    <t>+243 995 487 500</t>
  </si>
  <si>
    <t>+243 897 126 423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</si>
</sst>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_);\(&quot;$&quot;#,##0.00\)"/>
    <numFmt numFmtId="165" formatCode="&quot;Reorder&quot;;&quot;&quot;;&quot;&quot;"/>
  </numFmts>
  <fonts count="26">
    <font>
      <sz val="11"/>
      <color theme="3" tint="0.14993743705557422"/>
      <name val="Avenir Next LT Pro Light"/>
      <family val="2"/>
      <scheme val="minor"/>
    </font>
    <font>
      <sz val="11"/>
      <color theme="1"/>
      <name val="Avenir Next LT Pro Light"/>
      <family val="2"/>
      <scheme val="minor"/>
    </font>
    <font>
      <sz val="11"/>
      <color theme="1"/>
      <name val="Avenir Next LT Pro Light"/>
      <family val="2"/>
      <scheme val="minor"/>
    </font>
    <font>
      <b/>
      <sz val="26"/>
      <color theme="3" tint="0.14996795556505021"/>
      <name val="Avenir Next LT Pro"/>
      <family val="2"/>
      <scheme val="major"/>
    </font>
    <font>
      <sz val="11"/>
      <color theme="3"/>
      <name val="Avenir Next LT Pro"/>
      <family val="2"/>
      <scheme val="major"/>
    </font>
    <font>
      <b/>
      <sz val="11"/>
      <color theme="1"/>
      <name val="Avenir Next LT Pro Light"/>
      <family val="2"/>
      <scheme val="minor"/>
    </font>
    <font>
      <sz val="11"/>
      <color theme="3"/>
      <name val="Avenir Next LT Pro Light"/>
      <family val="2"/>
      <scheme val="minor"/>
    </font>
    <font>
      <sz val="16"/>
      <color theme="4" tint="-0.499984740745262"/>
      <name val="Avenir Next LT Pro"/>
      <family val="2"/>
      <scheme val="major"/>
    </font>
    <font>
      <sz val="11"/>
      <color theme="3" tint="0.14993743705557422"/>
      <name val="Avenir Next LT Pro Light"/>
      <family val="2"/>
      <scheme val="minor"/>
    </font>
    <font>
      <sz val="11"/>
      <color theme="0"/>
      <name val="Avenir Next LT Pro Light"/>
      <family val="2"/>
      <scheme val="minor"/>
    </font>
    <font>
      <sz val="11"/>
      <color theme="0"/>
      <name val="Avenir Next LT Pro"/>
      <family val="2"/>
      <scheme val="major"/>
    </font>
    <font>
      <sz val="11"/>
      <color theme="4" tint="-0.499984740745262"/>
      <name val="Avenir Next LT Pro Light"/>
      <family val="2"/>
      <scheme val="minor"/>
    </font>
    <font>
      <sz val="11"/>
      <color theme="3" tint="0.14990691854609822"/>
      <name val="Avenir Next LT Pro Light"/>
      <family val="2"/>
      <scheme val="minor"/>
    </font>
    <font>
      <sz val="11"/>
      <color theme="3" tint="0.14993743705557422"/>
      <name val="Avenir Book"/>
      <family val="2"/>
    </font>
    <font>
      <sz val="11"/>
      <color theme="3" tint="0.14993743705557422"/>
      <name val="Avenir Next LT Pro"/>
      <family val="2"/>
      <scheme val="major"/>
    </font>
    <font>
      <sz val="14"/>
      <color theme="6" tint="-0.499984740745262"/>
      <name val="Avenir Next LT Pro"/>
      <family val="2"/>
      <scheme val="major"/>
    </font>
    <font>
      <b/>
      <sz val="11"/>
      <color theme="3" tint="0.14993743705557422"/>
      <name val="Avenir Next LT Pro Light"/>
      <family val="2"/>
      <scheme val="minor"/>
    </font>
    <font>
      <b/>
      <sz val="50"/>
      <color theme="7" tint="-0.499984740745262"/>
      <name val="Avenir Next LT Pro"/>
      <family val="2"/>
      <scheme val="major"/>
    </font>
    <font>
      <b/>
      <sz val="68"/>
      <color theme="7" tint="-0.499984740745262"/>
      <name val="Avenir Next LT Pro"/>
      <family val="2"/>
      <scheme val="major"/>
    </font>
    <font>
      <b/>
      <sz val="26"/>
      <color theme="3" tint="0.14996795556505021"/>
      <name val="Avenir Next LT Pro Light"/>
      <family val="2"/>
      <scheme val="minor"/>
    </font>
    <font>
      <b/>
      <sz val="50"/>
      <color theme="9" tint="-0.499984740745262"/>
      <name val="Avenir Next LT Pro"/>
      <family val="2"/>
      <scheme val="major"/>
    </font>
    <font>
      <sz val="11"/>
      <color theme="2"/>
      <name val="Avenir Next LT Pro"/>
      <family val="2"/>
      <scheme val="major"/>
    </font>
    <font>
      <b/>
      <sz val="50"/>
      <color theme="6" tint="-0.499984740745262"/>
      <name val="Avenir Next LT Pro"/>
      <family val="2"/>
      <scheme val="major"/>
    </font>
    <font>
      <sz val="11"/>
      <color rgb="FF000000"/>
      <name val="Arial"/>
      <family val="2"/>
    </font>
    <font>
      <sz val="11"/>
      <color theme="1"/>
      <name val="Avenir Book"/>
      <family val="2"/>
    </font>
    <font>
      <sz val="8"/>
      <name val="Avenir Next LT Pro Light"/>
      <family val="2"/>
      <scheme val="minor"/>
    </font>
  </fonts>
  <fills count="7">
    <fill>
      <patternFill patternType="none"/>
    </fill>
    <fill>
      <patternFill patternType="gray125"/>
    </fill>
    <fill>
      <patternFill patternType="solid">
        <fgColor theme="4" tint="-0.49998474074526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6" tint="-0.499984740745262"/>
        <bgColor theme="6" tint="-0.499984740745262"/>
      </patternFill>
    </fill>
  </fills>
  <borders count="9">
    <border>
      <left/>
      <right/>
      <top/>
      <bottom/>
      <diagonal/>
    </border>
    <border>
      <left/>
      <right/>
      <top/>
      <bottom style="medium">
        <color theme="4" tint="-0.499984740745262"/>
      </bottom>
      <diagonal/>
    </border>
    <border>
      <left/>
      <right/>
      <top style="thin">
        <color theme="4" tint="-0.499984740745262"/>
      </top>
      <bottom style="double">
        <color theme="4" tint="-0.499984740745262"/>
      </bottom>
      <diagonal/>
    </border>
    <border>
      <left/>
      <right/>
      <top/>
      <bottom style="thin">
        <color theme="7" tint="-0.24994659260841701"/>
      </bottom>
      <diagonal/>
    </border>
    <border>
      <left/>
      <right/>
      <top/>
      <bottom style="thin">
        <color theme="9" tint="-0.499984740745262"/>
      </bottom>
      <diagonal/>
    </border>
    <border>
      <left/>
      <right/>
      <top/>
      <bottom style="thin">
        <color theme="6" tint="-0.499984740745262"/>
      </bottom>
      <diagonal/>
    </border>
    <border>
      <left/>
      <right/>
      <top style="thin">
        <color theme="6" tint="-0.499984740745262"/>
      </top>
      <bottom/>
      <diagonal/>
    </border>
    <border>
      <left style="thin">
        <color theme="6" tint="-0.499984740745262"/>
      </left>
      <right style="thin">
        <color theme="6" tint="-0.499984740745262"/>
      </right>
      <top style="thin">
        <color theme="6" tint="-0.499984740745262"/>
      </top>
      <bottom/>
      <diagonal/>
    </border>
    <border>
      <left style="thin">
        <color theme="6" tint="-0.499984740745262"/>
      </left>
      <right style="thin">
        <color theme="6" tint="-0.499984740745262"/>
      </right>
      <top/>
      <bottom/>
      <diagonal/>
    </border>
  </borders>
  <cellStyleXfs count="16">
    <xf numFmtId="0" fontId="0" fillId="0" borderId="0">
      <alignment vertical="center"/>
    </xf>
    <xf numFmtId="0" fontId="3" fillId="0" borderId="1" applyNumberFormat="0" applyFill="0" applyAlignment="0" applyProtection="0"/>
    <xf numFmtId="0" fontId="10" fillId="2" borderId="0" applyNumberFormat="0" applyProtection="0">
      <alignment horizontal="left" vertical="center" indent="1"/>
    </xf>
    <xf numFmtId="0" fontId="4" fillId="0" borderId="0" applyNumberFormat="0" applyFill="0" applyBorder="0" applyAlignment="0" applyProtection="0"/>
    <xf numFmtId="0" fontId="6" fillId="0" borderId="1" applyNumberFormat="0" applyFill="0" applyAlignment="0" applyProtection="0"/>
    <xf numFmtId="0" fontId="6" fillId="0" borderId="0" applyNumberFormat="0" applyFill="0" applyBorder="0" applyAlignment="0" applyProtection="0"/>
    <xf numFmtId="0" fontId="5" fillId="0" borderId="2" applyNumberFormat="0" applyFill="0" applyAlignment="0" applyProtection="0"/>
    <xf numFmtId="165" fontId="12" fillId="0" borderId="0">
      <alignment horizontal="center" vertical="center"/>
    </xf>
    <xf numFmtId="0" fontId="9" fillId="2" borderId="0" applyNumberFormat="0" applyProtection="0">
      <alignment horizontal="right" indent="1"/>
    </xf>
    <xf numFmtId="0" fontId="11" fillId="0" borderId="0" applyNumberFormat="0" applyProtection="0">
      <alignment horizontal="center"/>
    </xf>
    <xf numFmtId="0" fontId="11" fillId="0" borderId="0" applyNumberFormat="0" applyProtection="0">
      <alignment horizontal="center"/>
    </xf>
    <xf numFmtId="0" fontId="7" fillId="0" borderId="0" applyNumberFormat="0" applyFill="0" applyBorder="0" applyProtection="0">
      <alignment horizontal="left" vertical="top"/>
    </xf>
    <xf numFmtId="0" fontId="8" fillId="0" borderId="0">
      <alignment horizontal="left" vertical="center" wrapText="1" indent="1"/>
    </xf>
    <xf numFmtId="1" fontId="8" fillId="0" borderId="0">
      <alignment horizontal="center" vertical="center"/>
    </xf>
    <xf numFmtId="164" fontId="8" fillId="0" borderId="0">
      <alignment horizontal="right" vertical="center"/>
    </xf>
    <xf numFmtId="0" fontId="9" fillId="0" borderId="0" applyNumberFormat="0" applyFill="0" applyBorder="0">
      <alignment horizontal="center"/>
    </xf>
  </cellStyleXfs>
  <cellXfs count="40">
    <xf numFmtId="0" fontId="0" fillId="0" borderId="0" xfId="0">
      <alignment vertical="center"/>
    </xf>
    <xf numFmtId="0" fontId="13" fillId="0" borderId="0" xfId="0" applyFont="1">
      <alignment vertical="center"/>
    </xf>
    <xf numFmtId="0" fontId="0" fillId="5" borderId="0" xfId="0" applyFill="1" applyProtection="1">
      <alignment vertical="center"/>
      <protection locked="0"/>
    </xf>
    <xf numFmtId="0" fontId="3" fillId="5" borderId="5" xfId="1" applyFill="1" applyBorder="1" applyAlignment="1" applyProtection="1">
      <protection locked="0"/>
    </xf>
    <xf numFmtId="0" fontId="3" fillId="5" borderId="5" xfId="1" applyFill="1" applyBorder="1" applyAlignment="1" applyProtection="1">
      <alignment vertical="center"/>
      <protection locked="0"/>
    </xf>
    <xf numFmtId="0" fontId="14" fillId="5" borderId="0" xfId="0" applyFont="1" applyFill="1" applyProtection="1">
      <alignment vertical="center"/>
      <protection locked="0"/>
    </xf>
    <xf numFmtId="0" fontId="15" fillId="5" borderId="6" xfId="3" applyFont="1" applyFill="1" applyBorder="1" applyAlignment="1" applyProtection="1">
      <alignment horizontal="left" vertical="center" indent="1"/>
      <protection locked="0"/>
    </xf>
    <xf numFmtId="0" fontId="15" fillId="5" borderId="0" xfId="0" applyFont="1" applyFill="1" applyAlignment="1">
      <alignment horizontal="left" vertical="center" indent="1"/>
    </xf>
    <xf numFmtId="0" fontId="14" fillId="0" borderId="0" xfId="0" applyFont="1">
      <alignment vertical="center"/>
    </xf>
    <xf numFmtId="0" fontId="16" fillId="5" borderId="0" xfId="0" applyFont="1" applyFill="1" applyProtection="1">
      <alignment vertical="center"/>
      <protection locked="0"/>
    </xf>
    <xf numFmtId="0" fontId="16" fillId="0" borderId="0" xfId="0" applyFont="1">
      <alignment vertical="center"/>
    </xf>
    <xf numFmtId="164" fontId="15" fillId="5" borderId="6" xfId="3" applyNumberFormat="1" applyFont="1" applyFill="1" applyBorder="1" applyAlignment="1" applyProtection="1">
      <alignment horizontal="left" vertical="center" indent="1"/>
    </xf>
    <xf numFmtId="0" fontId="2" fillId="0" borderId="0" xfId="12" applyFont="1">
      <alignment horizontal="left" vertical="center" wrapText="1" indent="1"/>
    </xf>
    <xf numFmtId="0" fontId="0" fillId="3" borderId="0" xfId="0" applyFill="1">
      <alignment vertical="center"/>
    </xf>
    <xf numFmtId="0" fontId="8" fillId="3" borderId="0" xfId="15" applyFont="1" applyFill="1">
      <alignment horizontal="center"/>
    </xf>
    <xf numFmtId="0" fontId="8" fillId="3" borderId="0" xfId="0" applyFont="1" applyFill="1">
      <alignment vertical="center"/>
    </xf>
    <xf numFmtId="0" fontId="19" fillId="3" borderId="3" xfId="1" applyFont="1" applyFill="1" applyBorder="1" applyAlignment="1">
      <alignment vertical="center"/>
    </xf>
    <xf numFmtId="0" fontId="0" fillId="4" borderId="0" xfId="0" applyFill="1">
      <alignment vertical="center"/>
    </xf>
    <xf numFmtId="0" fontId="19" fillId="4" borderId="4" xfId="1" applyFont="1" applyFill="1" applyBorder="1" applyAlignment="1">
      <alignment vertical="center"/>
    </xf>
    <xf numFmtId="0" fontId="20" fillId="4" borderId="4" xfId="1" applyFont="1" applyFill="1" applyBorder="1" applyAlignment="1">
      <alignment horizontal="left" vertical="center"/>
    </xf>
    <xf numFmtId="0" fontId="10" fillId="0" borderId="0" xfId="2" applyFill="1" applyProtection="1">
      <alignment horizontal="left" vertical="center" indent="1"/>
    </xf>
    <xf numFmtId="0" fontId="10" fillId="0" borderId="0" xfId="2" applyFill="1">
      <alignment horizontal="left" vertical="center" indent="1"/>
    </xf>
    <xf numFmtId="0" fontId="8" fillId="0" borderId="0" xfId="12">
      <alignment horizontal="left" vertical="center" wrapText="1" indent="1"/>
    </xf>
    <xf numFmtId="1" fontId="8" fillId="0" borderId="0" xfId="13">
      <alignment horizontal="center" vertical="center"/>
    </xf>
    <xf numFmtId="0" fontId="21" fillId="0" borderId="0" xfId="0" applyFont="1" applyAlignment="1">
      <alignment horizontal="left" vertical="center" indent="1"/>
    </xf>
    <xf numFmtId="0" fontId="21" fillId="0" borderId="0" xfId="0" applyFont="1" applyAlignment="1">
      <alignment horizontal="center" vertical="center"/>
    </xf>
    <xf numFmtId="0" fontId="0" fillId="0" borderId="0" xfId="12" applyFont="1">
      <alignment horizontal="left" vertical="center" wrapText="1" indent="1"/>
    </xf>
    <xf numFmtId="1" fontId="0" fillId="0" borderId="0" xfId="13" applyFont="1">
      <alignment horizontal="center" vertical="center"/>
    </xf>
    <xf numFmtId="0" fontId="22" fillId="5" borderId="5" xfId="1" applyFont="1" applyFill="1" applyBorder="1" applyAlignment="1" applyProtection="1">
      <alignment horizontal="left" vertical="center"/>
      <protection locked="0"/>
    </xf>
    <xf numFmtId="0" fontId="1" fillId="0" borderId="0" xfId="12" applyFont="1">
      <alignment horizontal="left" vertical="center" wrapText="1" indent="1"/>
    </xf>
    <xf numFmtId="0" fontId="1" fillId="0" borderId="0" xfId="12" applyFont="1" applyFill="1" applyProtection="1">
      <alignment horizontal="left" vertical="center" wrapText="1" indent="1"/>
    </xf>
    <xf numFmtId="0" fontId="23" fillId="0" borderId="0" xfId="0" applyFont="1">
      <alignment vertical="center"/>
    </xf>
    <xf numFmtId="164" fontId="15" fillId="5" borderId="6" xfId="3" applyNumberFormat="1" applyFont="1" applyFill="1" applyBorder="1" applyAlignment="1" applyProtection="1">
      <alignment horizontal="right" vertical="center"/>
      <protection locked="0"/>
    </xf>
    <xf numFmtId="0" fontId="15" fillId="5" borderId="6" xfId="0" applyFont="1" applyFill="1" applyBorder="1" applyAlignment="1" applyProtection="1">
      <alignment horizontal="right" vertical="center" indent="1"/>
      <protection locked="0"/>
    </xf>
    <xf numFmtId="0" fontId="17" fillId="3" borderId="3" xfId="1" applyFont="1" applyFill="1" applyBorder="1" applyAlignment="1">
      <alignment horizontal="left" vertical="center"/>
    </xf>
    <xf numFmtId="0" fontId="18" fillId="3" borderId="3" xfId="1" applyFont="1" applyFill="1" applyBorder="1" applyAlignment="1">
      <alignment horizontal="left" vertical="center"/>
    </xf>
    <xf numFmtId="0" fontId="24" fillId="0" borderId="0" xfId="12" applyFont="1" applyFill="1" applyProtection="1">
      <alignment horizontal="left" vertical="center" wrapText="1" indent="1"/>
    </xf>
    <xf numFmtId="0" fontId="10" fillId="0" borderId="8" xfId="2" applyFont="1" applyFill="1" applyBorder="1" applyProtection="1">
      <alignment horizontal="left" vertical="center" indent="1"/>
    </xf>
    <xf numFmtId="0" fontId="10" fillId="6" borderId="7" xfId="2" applyFont="1" applyFill="1" applyBorder="1" applyAlignment="1">
      <alignment horizontal="left" vertical="center" indent="1"/>
    </xf>
    <xf numFmtId="0" fontId="24" fillId="5" borderId="8" xfId="12" applyNumberFormat="1" applyFont="1" applyFill="1" applyBorder="1" applyAlignment="1">
      <alignment horizontal="left" vertical="center" wrapText="1" indent="1"/>
    </xf>
  </cellXfs>
  <cellStyles count="16">
    <cellStyle name="Cellule liée" xfId="8" builtinId="24" customBuiltin="1"/>
    <cellStyle name="Flag Column" xfId="7" xr:uid="{00000000-0005-0000-0000-000000000000}"/>
    <cellStyle name="Lien hypertexte" xfId="9" builtinId="8" customBuiltin="1"/>
    <cellStyle name="Lien hypertexte visité" xfId="10" builtinId="9" customBuiltin="1"/>
    <cellStyle name="Normal" xfId="0" builtinId="0" customBuiltin="1"/>
    <cellStyle name="Table details center aligned" xfId="13" xr:uid="{00000000-0005-0000-0000-000009000000}"/>
    <cellStyle name="Table details left aligned" xfId="12" xr:uid="{00000000-0005-0000-0000-00000A000000}"/>
    <cellStyle name="Table details right aligned" xfId="14" xr:uid="{00000000-0005-0000-0000-00000B000000}"/>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6" builtinId="25" customBuiltin="1"/>
    <cellStyle name="Total counts" xfId="11" xr:uid="{00000000-0005-0000-0000-00000E000000}"/>
    <cellStyle name="zHide navigation link text" xfId="15" xr:uid="{00000000-0005-0000-0000-00000F000000}"/>
  </cellStyles>
  <dxfs count="40">
    <dxf>
      <font>
        <strike val="0"/>
        <outline val="0"/>
        <shadow val="0"/>
        <u val="none"/>
        <vertAlign val="baseline"/>
        <sz val="11"/>
        <color theme="1"/>
        <name val="Avenir Book"/>
        <family val="2"/>
        <scheme val="none"/>
      </font>
      <fill>
        <patternFill patternType="none">
          <fgColor indexed="64"/>
          <bgColor auto="1"/>
        </patternFill>
      </fill>
      <alignment vertical="center" textRotation="0" wrapText="0" indent="0" justifyLastLine="0" shrinkToFit="0" readingOrder="0"/>
      <border diagonalUp="0" diagonalDown="0" outline="0">
        <left style="thin">
          <color theme="6" tint="-0.499984740745262"/>
        </left>
        <right style="thin">
          <color theme="6" tint="-0.499984740745262"/>
        </right>
        <top/>
        <bottom/>
      </border>
      <protection locked="1" hidden="0"/>
    </dxf>
    <dxf>
      <font>
        <strike val="0"/>
        <outline val="0"/>
        <shadow val="0"/>
        <u val="none"/>
        <vertAlign val="baseline"/>
        <sz val="11"/>
        <color theme="1"/>
        <name val="Avenir Book"/>
        <family val="2"/>
        <scheme val="none"/>
      </font>
      <fill>
        <patternFill patternType="none">
          <fgColor indexed="64"/>
          <bgColor auto="1"/>
        </patternFill>
      </fill>
      <protection locked="1" hidden="0"/>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name val="Avenir Next LT Pro Light"/>
        <family val="2"/>
        <scheme val="minor"/>
      </font>
      <fill>
        <patternFill patternType="none">
          <fgColor indexed="64"/>
          <bgColor auto="1"/>
        </patternFill>
      </fill>
      <border diagonalUp="0" diagonalDown="0" outline="0">
        <left style="thin">
          <color theme="9" tint="-0.499984740745262"/>
        </left>
        <right style="thin">
          <color theme="9" tint="-0.499984740745262"/>
        </right>
        <top/>
        <bottom/>
      </border>
    </dxf>
    <dxf>
      <font>
        <strike val="0"/>
        <outline val="0"/>
        <shadow val="0"/>
        <u val="none"/>
        <vertAlign val="baseline"/>
        <name val="Avenir Next LT Pro Light"/>
        <family val="2"/>
        <scheme val="minor"/>
      </font>
      <fill>
        <patternFill patternType="none">
          <fgColor indexed="64"/>
          <bgColor auto="1"/>
        </patternFill>
      </fill>
    </dxf>
    <dxf>
      <font>
        <strike val="0"/>
        <outline val="0"/>
        <shadow val="0"/>
        <u val="none"/>
        <vertAlign val="baseline"/>
        <sz val="11"/>
        <color theme="2"/>
        <name val="Avenir Next LT Pro"/>
        <family val="2"/>
        <scheme val="major"/>
      </font>
      <fill>
        <patternFill patternType="none">
          <fgColor indexed="64"/>
          <bgColor auto="1"/>
        </patternFill>
      </fill>
      <alignment horizontal="left" vertical="center" textRotation="0" wrapText="0" indent="1" justifyLastLine="0" shrinkToFit="0" readingOrder="0"/>
      <border diagonalUp="0" diagonalDown="0" outline="0">
        <left style="thin">
          <color theme="9" tint="-0.499984740745262"/>
        </left>
        <right style="thin">
          <color theme="9" tint="-0.499984740745262"/>
        </right>
        <top/>
        <bottom/>
      </border>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3" tint="0.14993743705557422"/>
        <name val="Avenir Next LT Pro Light"/>
        <family val="2"/>
        <scheme val="minor"/>
      </font>
      <fill>
        <patternFill patternType="none">
          <fgColor indexed="64"/>
          <bgColor auto="1"/>
        </patternFill>
      </fill>
    </dxf>
    <dxf>
      <font>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7" tint="-0.499984740745262"/>
        </left>
        <right style="thin">
          <color theme="7" tint="-0.499984740745262"/>
        </right>
        <top/>
        <bottom/>
      </border>
    </dxf>
    <dxf>
      <font>
        <b/>
        <i val="0"/>
        <color rgb="FFFF0000"/>
      </font>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Next LT Pro Light"/>
        <family val="2"/>
        <scheme val="minor"/>
      </font>
      <fill>
        <patternFill patternType="none">
          <fgColor indexed="64"/>
          <bgColor auto="1"/>
        </patternFill>
      </fill>
      <protection locked="1" hidden="0"/>
    </dxf>
    <dxf>
      <font>
        <strike val="0"/>
        <outline val="0"/>
        <shadow val="0"/>
        <u val="none"/>
        <vertAlign val="baseline"/>
        <sz val="11"/>
        <color theme="1"/>
        <name val="Avenir Book"/>
        <family val="2"/>
        <scheme val="none"/>
      </font>
      <fill>
        <patternFill patternType="none">
          <fgColor indexed="64"/>
          <bgColor auto="1"/>
        </patternFill>
      </fill>
      <alignment vertical="center" textRotation="0" wrapText="0" indent="0" justifyLastLine="0" shrinkToFit="0" readingOrder="0"/>
      <border diagonalUp="0" diagonalDown="0" outline="0">
        <left style="thin">
          <color theme="6" tint="-0.499984740745262"/>
        </left>
        <right style="thin">
          <color theme="6" tint="-0.499984740745262"/>
        </right>
        <top/>
        <bottom/>
      </border>
      <protection locked="1" hidden="0"/>
    </dxf>
    <dxf>
      <font>
        <strike val="0"/>
        <outline val="0"/>
        <shadow val="0"/>
        <u val="none"/>
        <vertAlign val="baseline"/>
        <sz val="11"/>
        <color theme="1"/>
        <name val="Avenir Book"/>
        <family val="2"/>
        <scheme val="none"/>
      </font>
      <fill>
        <patternFill patternType="none">
          <fgColor indexed="64"/>
          <bgColor auto="1"/>
        </patternFill>
      </fill>
      <protection locked="1" hidden="0"/>
    </dxf>
    <dxf>
      <font>
        <b val="0"/>
        <strike val="0"/>
        <outline val="0"/>
        <shadow val="0"/>
        <u val="none"/>
        <vertAlign val="baseline"/>
        <sz val="11"/>
        <color theme="0"/>
        <name val="Avenir Next LT Pro"/>
        <family val="2"/>
        <scheme val="major"/>
      </font>
      <fill>
        <patternFill patternType="none">
          <fgColor indexed="64"/>
          <bgColor auto="1"/>
        </patternFill>
      </fill>
      <border diagonalUp="0" diagonalDown="0" outline="0">
        <left style="thin">
          <color theme="6" tint="-0.499984740745262"/>
        </left>
        <right style="thin">
          <color theme="6" tint="-0.499984740745262"/>
        </right>
        <top/>
        <bottom/>
      </border>
      <protection locked="1" hidden="0"/>
    </dxf>
    <dxf>
      <fill>
        <patternFill>
          <bgColor theme="6" tint="0.59996337778862885"/>
        </patternFill>
      </fill>
    </dxf>
    <dxf>
      <fill>
        <patternFill>
          <bgColor theme="0"/>
        </patternFill>
      </fill>
    </dxf>
    <dxf>
      <font>
        <b val="0"/>
        <i val="0"/>
        <color theme="0"/>
      </font>
      <fill>
        <patternFill patternType="solid">
          <fgColor theme="6" tint="-0.499984740745262"/>
          <bgColor theme="6" tint="-0.499984740745262"/>
        </patternFill>
      </fill>
    </dxf>
    <dxf>
      <fill>
        <patternFill>
          <bgColor theme="6" tint="0.79998168889431442"/>
        </patternFill>
      </fill>
      <border diagonalUp="0" diagonalDown="0">
        <left style="thin">
          <color theme="6" tint="-0.499984740745262"/>
        </left>
        <right style="thin">
          <color theme="6" tint="-0.499984740745262"/>
        </right>
        <top style="thin">
          <color theme="6" tint="-0.499984740745262"/>
        </top>
        <bottom style="thin">
          <color theme="6" tint="-0.499984740745262"/>
        </bottom>
        <vertical style="thin">
          <color theme="6" tint="-0.499984740745262"/>
        </vertical>
        <horizontal/>
      </border>
    </dxf>
    <dxf>
      <fill>
        <patternFill>
          <bgColor theme="7" tint="0.59996337778862885"/>
        </patternFill>
      </fill>
    </dxf>
    <dxf>
      <font>
        <b val="0"/>
        <i val="0"/>
        <color theme="0"/>
      </font>
      <fill>
        <patternFill patternType="solid">
          <fgColor theme="7" tint="-0.499984740745262"/>
          <bgColor theme="7" tint="-0.499984740745262"/>
        </patternFill>
      </fill>
    </dxf>
    <dxf>
      <fill>
        <patternFill>
          <bgColor theme="7" tint="0.79998168889431442"/>
        </patternFill>
      </fill>
      <border diagonalUp="0" diagonalDown="0">
        <left style="thin">
          <color theme="7" tint="-0.499984740745262"/>
        </left>
        <right style="thin">
          <color theme="7" tint="-0.499984740745262"/>
        </right>
        <top style="thin">
          <color theme="7" tint="-0.499984740745262"/>
        </top>
        <bottom style="thin">
          <color theme="7" tint="-0.499984740745262"/>
        </bottom>
        <vertical style="thin">
          <color theme="7" tint="-0.499984740745262"/>
        </vertical>
        <horizontal/>
      </border>
    </dxf>
    <dxf>
      <fill>
        <patternFill>
          <bgColor theme="9" tint="0.59996337778862885"/>
        </patternFill>
      </fill>
    </dxf>
    <dxf>
      <font>
        <b val="0"/>
        <i val="0"/>
        <color theme="0"/>
      </font>
      <fill>
        <patternFill patternType="solid">
          <fgColor theme="9" tint="-0.499984740745262"/>
          <bgColor theme="9" tint="-0.499984740745262"/>
        </patternFill>
      </fill>
    </dxf>
    <dxf>
      <fill>
        <patternFill>
          <bgColor theme="9" tint="0.79998168889431442"/>
        </patternFill>
      </fill>
      <border diagonalUp="0" diagonalDown="0">
        <left style="thin">
          <color theme="9" tint="-0.499984740745262"/>
        </left>
        <right style="thin">
          <color theme="9" tint="-0.499984740745262"/>
        </right>
        <top style="thin">
          <color theme="9" tint="-0.499984740745262"/>
        </top>
        <bottom style="thin">
          <color theme="9" tint="-0.499984740745262"/>
        </bottom>
        <vertical style="thin">
          <color theme="9" tint="-0.499984740745262"/>
        </vertical>
        <horizontal/>
      </border>
    </dxf>
  </dxfs>
  <tableStyles count="3" defaultTableStyle="Warehouse Inventory" defaultPivotStyle="PivotStyleMedium2">
    <tableStyle name="Bin Lookup" pivot="0" count="3" xr9:uid="{1E3C31DD-E9A2-4A0A-A2FC-00B6076C5A12}">
      <tableStyleElement type="wholeTable" dxfId="39"/>
      <tableStyleElement type="headerRow" dxfId="38"/>
      <tableStyleElement type="secondRowStripe" dxfId="37"/>
    </tableStyle>
    <tableStyle name="Inventory Pick List" pivot="0" count="3" xr9:uid="{4DCDFD08-C196-4F17-8EF8-618A9CBE2507}">
      <tableStyleElement type="wholeTable" dxfId="36"/>
      <tableStyleElement type="headerRow" dxfId="35"/>
      <tableStyleElement type="secondRowStripe" dxfId="34"/>
    </tableStyle>
    <tableStyle name="Warehouse Inventory" pivot="0" count="4" xr9:uid="{00000000-0011-0000-FFFF-FFFF00000000}">
      <tableStyleElement type="wholeTable" dxfId="33"/>
      <tableStyleElement type="headerRow" dxfId="32"/>
      <tableStyleElement type="lastColumn" dxfId="31"/>
      <tableStyleElement type="secondRowStripe" dxfId="3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hyperlink" Target="#'Inventory list'!A1"/></Relationships>
</file>

<file path=xl/drawings/_rels/drawing2.xml.rels><?xml version="1.0" encoding="UTF-8" standalone="yes"?>
<Relationships xmlns="http://schemas.openxmlformats.org/package/2006/relationships"><Relationship Id="rId1" Type="http://schemas.openxmlformats.org/officeDocument/2006/relationships/hyperlink" Target="#'Inventory list'!A1"/></Relationships>
</file>

<file path=xl/drawings/drawing1.xml><?xml version="1.0" encoding="utf-8"?>
<xdr:wsDr xmlns:xdr="http://schemas.openxmlformats.org/drawingml/2006/spreadsheetDrawing" xmlns:a="http://schemas.openxmlformats.org/drawingml/2006/main">
  <xdr:twoCellAnchor editAs="oneCell">
    <xdr:from>
      <xdr:col>8</xdr:col>
      <xdr:colOff>76199</xdr:colOff>
      <xdr:row>0</xdr:row>
      <xdr:rowOff>549275</xdr:rowOff>
    </xdr:from>
    <xdr:to>
      <xdr:col>9</xdr:col>
      <xdr:colOff>10159</xdr:colOff>
      <xdr:row>0</xdr:row>
      <xdr:rowOff>777875</xdr:rowOff>
    </xdr:to>
    <xdr:sp macro="" textlink="">
      <xdr:nvSpPr>
        <xdr:cNvPr id="3" name="Inventory List" descr="Select to view Inventory List">
          <a:hlinkClick xmlns:r="http://schemas.openxmlformats.org/officeDocument/2006/relationships" r:id="rId1" tooltip="Click to view the Warehouse Inventory List"/>
          <a:extLst>
            <a:ext uri="{FF2B5EF4-FFF2-40B4-BE49-F238E27FC236}">
              <a16:creationId xmlns:a16="http://schemas.microsoft.com/office/drawing/2014/main" id="{00000000-0008-0000-0100-000003000000}"/>
            </a:ext>
          </a:extLst>
        </xdr:cNvPr>
        <xdr:cNvSpPr/>
      </xdr:nvSpPr>
      <xdr:spPr>
        <a:xfrm flipH="1">
          <a:off x="10464799" y="549275"/>
          <a:ext cx="1584960" cy="228600"/>
        </a:xfrm>
        <a:prstGeom prst="homePlate">
          <a:avLst/>
        </a:prstGeom>
        <a:solidFill>
          <a:schemeClr val="accent4">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1238249</xdr:colOff>
      <xdr:row>0</xdr:row>
      <xdr:rowOff>549275</xdr:rowOff>
    </xdr:from>
    <xdr:to>
      <xdr:col>7</xdr:col>
      <xdr:colOff>13334</xdr:colOff>
      <xdr:row>0</xdr:row>
      <xdr:rowOff>777875</xdr:rowOff>
    </xdr:to>
    <xdr:sp macro="" textlink="">
      <xdr:nvSpPr>
        <xdr:cNvPr id="2" name="Inventory List" descr="Select to view Inventory List">
          <a:hlinkClick xmlns:r="http://schemas.openxmlformats.org/officeDocument/2006/relationships" r:id="rId1" tooltip="Select to view Inventory List"/>
          <a:extLst>
            <a:ext uri="{FF2B5EF4-FFF2-40B4-BE49-F238E27FC236}">
              <a16:creationId xmlns:a16="http://schemas.microsoft.com/office/drawing/2014/main" id="{00000000-0008-0000-0200-000002000000}"/>
            </a:ext>
          </a:extLst>
        </xdr:cNvPr>
        <xdr:cNvSpPr/>
      </xdr:nvSpPr>
      <xdr:spPr>
        <a:xfrm flipH="1">
          <a:off x="8029574" y="549275"/>
          <a:ext cx="1289685" cy="228600"/>
        </a:xfrm>
        <a:prstGeom prst="homePlate">
          <a:avLst/>
        </a:prstGeom>
        <a:solidFill>
          <a:schemeClr val="accent6">
            <a:lumMod val="50000"/>
          </a:schemeClr>
        </a:solidFill>
        <a:effectLst/>
        <a:scene3d>
          <a:camera prst="orthographicFront">
            <a:rot lat="0" lon="0" rev="0"/>
          </a:camera>
          <a:lightRig rig="threePt" dir="t">
            <a:rot lat="0" lon="0" rev="1200000"/>
          </a:lightRig>
        </a:scene3d>
        <a:sp3d/>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marL="0" indent="0" algn="ctr"/>
          <a:r>
            <a:rPr lang="en-US" sz="1000" b="0" i="0">
              <a:solidFill>
                <a:schemeClr val="lt1"/>
              </a:solidFill>
              <a:latin typeface="Avenir Medium" panose="02000503020000020003" pitchFamily="2" charset="0"/>
              <a:ea typeface="+mn-ea"/>
              <a:cs typeface="+mn-cs"/>
            </a:rPr>
            <a:t>INVENTORY LIST</a:t>
          </a:r>
        </a:p>
      </xdr:txBody>
    </xdr:sp>
    <xdr:clientData fPrintsWithSheet="0"/>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nventoryList" displayName="InventoryList" ref="B3:G28" headerRowDxfId="29" dataDxfId="28" totalsRowDxfId="27">
  <autoFilter ref="B3:G28" xr:uid="{00000000-0009-0000-0100-000001000000}"/>
  <sortState xmlns:xlrd2="http://schemas.microsoft.com/office/spreadsheetml/2017/richdata2" ref="B3:F11">
    <sortCondition ref="C2:C11"/>
  </sortState>
  <tableColumns count="6">
    <tableColumn id="1" xr3:uid="{00000000-0010-0000-0000-000001000000}" name="DESCRIPTION" totalsRowLabel="Totals" dataDxfId="26" dataCellStyle="Table details left aligned"/>
    <tableColumn id="2" xr3:uid="{00000000-0010-0000-0000-000002000000}" name="TYPE DE PLAINTE" dataDxfId="25" dataCellStyle="Table details left aligned"/>
    <tableColumn id="3" xr3:uid="{00000000-0010-0000-0000-000003000000}" name="NUMERO" dataDxfId="24" dataCellStyle="Table details left aligned"/>
    <tableColumn id="4" xr3:uid="{00000000-0010-0000-0000-000004000000}" name="NOM" dataDxfId="23" dataCellStyle="Table details left aligned">
      <calculatedColumnFormula>IFERROR(VLOOKUP(InventoryList[[#This Row],[NUMERO]],BinLookup[],3,FALSE),"")</calculatedColumnFormula>
    </tableColumn>
    <tableColumn id="5" xr3:uid="{00000000-0010-0000-0000-000005000000}" name="SITUATION" dataDxfId="22" dataCellStyle="Table details left aligned"/>
    <tableColumn id="6" xr3:uid="{13F19E01-3555-4E24-8A24-E439CFE55C1A}" name="PERSONNE A INTERVENIR" dataDxfId="1" totalsRowDxfId="0" dataCellStyle="Table details left aligned"/>
  </tableColumns>
  <tableStyleInfo name="Warehouse Inventory" showFirstColumn="0" showLastColumn="0" showRowStripes="1" showColumnStripes="0"/>
  <extLst>
    <ext xmlns:x14="http://schemas.microsoft.com/office/spreadsheetml/2009/9/main" uri="{504A1905-F514-4f6f-8877-14C23A59335A}">
      <x14:table altTextSummary="List of inventory items and details such as SKU, description, bin number, location, unit, quantity, reorder quantity, cost, inventory value and reorder status"/>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InventoryPickList" displayName="InventoryPickList" ref="B3:I8" totalsRowShown="0" headerRowDxfId="20" dataDxfId="19">
  <autoFilter ref="B3:I8" xr:uid="{00000000-0009-0000-0100-000004000000}"/>
  <sortState xmlns:xlrd2="http://schemas.microsoft.com/office/spreadsheetml/2017/richdata2" ref="B3:I6">
    <sortCondition ref="I2:I6"/>
  </sortState>
  <tableColumns count="8">
    <tableColumn id="9" xr3:uid="{00000000-0010-0000-0100-000009000000}" name="ORDER #" dataDxfId="18" dataCellStyle="Table details left aligned"/>
    <tableColumn id="1" xr3:uid="{00000000-0010-0000-0100-000001000000}" name="SKU" dataDxfId="17" dataCellStyle="Table details left aligned"/>
    <tableColumn id="6" xr3:uid="{00000000-0010-0000-0100-000006000000}" name="PICK QTY" dataDxfId="16" dataCellStyle="Table details center aligned"/>
    <tableColumn id="7" xr3:uid="{00000000-0010-0000-0100-000007000000}" name="QTY AVAILABLE" dataDxfId="15" dataCellStyle="Table details center aligned">
      <calculatedColumnFormula>IFERROR(VLOOKUP(InventoryPickList[[#This Row],[SKU]],InventoryList[],6,FALSE),"")</calculatedColumnFormula>
    </tableColumn>
    <tableColumn id="2" xr3:uid="{00000000-0010-0000-0100-000002000000}" name="ITEM DESCRIPTION" dataDxfId="14" dataCellStyle="Table details left aligned">
      <calculatedColumnFormula>IFERROR(VLOOKUP(InventoryPickList[[#This Row],[SKU]],InventoryList[],2,FALSE),"")</calculatedColumnFormula>
    </tableColumn>
    <tableColumn id="8" xr3:uid="{00000000-0010-0000-0100-000008000000}" name="UNIT" dataDxfId="13" dataCellStyle="Table details left aligned">
      <calculatedColumnFormula>IFERROR(VLOOKUP(InventoryPickList[[#This Row],[SKU]],InventoryList[],5,FALSE),"")</calculatedColumnFormula>
    </tableColumn>
    <tableColumn id="3" xr3:uid="{00000000-0010-0000-0100-000003000000}" name="BIN #" dataDxfId="12" dataCellStyle="Table details left aligned">
      <calculatedColumnFormula>IFERROR(VLOOKUP(InventoryPickList[[#This Row],[SKU]],InventoryList[],3,FALSE),"")</calculatedColumnFormula>
    </tableColumn>
    <tableColumn id="4" xr3:uid="{00000000-0010-0000-0100-000004000000}" name="LOCATION" dataDxfId="11" dataCellStyle="Table details left aligned">
      <calculatedColumnFormula>IFERROR(VLOOKUP(InventoryPickList[[#This Row],[SKU]],InventoryList[],4,FALSE),"")</calculatedColumnFormula>
    </tableColumn>
  </tableColumns>
  <tableStyleInfo name="Inventory Pick List" showFirstColumn="0" showLastColumn="0" showRowStripes="1" showColumnStripes="0"/>
  <extLst>
    <ext xmlns:x14="http://schemas.microsoft.com/office/spreadsheetml/2009/9/main" uri="{504A1905-F514-4f6f-8877-14C23A59335A}">
      <x14:table altTextSummary="Inventory items for order fulfillment along with details for each item such as order number, SKU, pick quantity, quantity available, item description, unit, bin number and location. To clear the list, select the option in cell B2"/>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BinLookup" displayName="BinLookup" ref="B3:G10" headerRowDxfId="10" dataDxfId="9" totalsRowDxfId="8">
  <autoFilter ref="B3:G10" xr:uid="{00000000-0009-0000-0100-000003000000}"/>
  <tableColumns count="6">
    <tableColumn id="1" xr3:uid="{00000000-0010-0000-0200-000001000000}" name="BIN #" totalsRowLabel="Total" dataDxfId="7" dataCellStyle="Table details left aligned"/>
    <tableColumn id="2" xr3:uid="{00000000-0010-0000-0200-000002000000}" name="DESCRIPTION" dataDxfId="6" dataCellStyle="Table details left aligned"/>
    <tableColumn id="6" xr3:uid="{00000000-0010-0000-0200-000006000000}" name="LOCATION" dataDxfId="5" dataCellStyle="Table details left aligned"/>
    <tableColumn id="3" xr3:uid="{00000000-0010-0000-0200-000003000000}" name="WIDTH" dataDxfId="4" dataCellStyle="Table details center aligned"/>
    <tableColumn id="4" xr3:uid="{00000000-0010-0000-0200-000004000000}" name="HEIGHT" dataDxfId="3" dataCellStyle="Table details center aligned"/>
    <tableColumn id="5" xr3:uid="{00000000-0010-0000-0200-000005000000}" name="LENGTH" totalsRowFunction="sum" dataDxfId="2" dataCellStyle="Table details center aligned"/>
  </tableColumns>
  <tableStyleInfo name="Bin Lookup" showFirstColumn="0" showLastColumn="0" showRowStripes="1" showColumnStripes="0"/>
  <extLst>
    <ext xmlns:x14="http://schemas.microsoft.com/office/spreadsheetml/2009/9/main" uri="{504A1905-F514-4f6f-8877-14C23A59335A}">
      <x14:table altTextSummary="Details for inventory bins such as, bin number, description, location, width, height and length"/>
    </ext>
  </extLst>
</table>
</file>

<file path=xl/theme/theme1.xml><?xml version="1.0" encoding="utf-8"?>
<a:theme xmlns:a="http://schemas.openxmlformats.org/drawingml/2006/main" name="Office Theme">
  <a:themeElements>
    <a:clrScheme name="Warehouse Inventory">
      <a:dk1>
        <a:sysClr val="windowText" lastClr="000000"/>
      </a:dk1>
      <a:lt1>
        <a:sysClr val="window" lastClr="FFFFFF"/>
      </a:lt1>
      <a:dk2>
        <a:srgbClr val="000000"/>
      </a:dk2>
      <a:lt2>
        <a:srgbClr val="FFFFFF"/>
      </a:lt2>
      <a:accent1>
        <a:srgbClr val="6DB068"/>
      </a:accent1>
      <a:accent2>
        <a:srgbClr val="E1C049"/>
      </a:accent2>
      <a:accent3>
        <a:srgbClr val="77CACD"/>
      </a:accent3>
      <a:accent4>
        <a:srgbClr val="EB862D"/>
      </a:accent4>
      <a:accent5>
        <a:srgbClr val="9062A7"/>
      </a:accent5>
      <a:accent6>
        <a:srgbClr val="EB8688"/>
      </a:accent6>
      <a:hlink>
        <a:srgbClr val="13CACD"/>
      </a:hlink>
      <a:folHlink>
        <a:srgbClr val="9062A7"/>
      </a:folHlink>
    </a:clrScheme>
    <a:fontScheme name="Custom 12">
      <a:majorFont>
        <a:latin typeface="Avenir Next LT Pro"/>
        <a:ea typeface=""/>
        <a:cs typeface=""/>
      </a:majorFont>
      <a:minorFont>
        <a:latin typeface="Avenir Next LT Pro Light"/>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tInventoryList">
    <tabColor theme="6" tint="-0.249977111117893"/>
    <pageSetUpPr autoPageBreaks="0" fitToPage="1"/>
  </sheetPr>
  <dimension ref="A1:W35"/>
  <sheetViews>
    <sheetView showGridLines="0" tabSelected="1" topLeftCell="D21" zoomScaleNormal="100" workbookViewId="0">
      <selection activeCell="I29" sqref="I29"/>
    </sheetView>
  </sheetViews>
  <sheetFormatPr baseColWidth="10" defaultColWidth="8.875" defaultRowHeight="30" customHeight="1"/>
  <cols>
    <col min="1" max="1" width="5.4375" customWidth="1"/>
    <col min="2" max="2" width="36.125" customWidth="1"/>
    <col min="3" max="3" width="25.6875" customWidth="1"/>
    <col min="4" max="4" width="15.75" customWidth="1"/>
    <col min="5" max="5" width="16.4375" customWidth="1"/>
    <col min="6" max="6" width="18" customWidth="1"/>
    <col min="7" max="7" width="27.5625" customWidth="1"/>
    <col min="8" max="8" width="19.625" customWidth="1"/>
    <col min="9" max="9" width="20.4375" customWidth="1"/>
    <col min="10" max="10" width="13.3125" customWidth="1"/>
    <col min="11" max="11" width="24.5625" customWidth="1"/>
    <col min="12" max="12" width="15.4375" customWidth="1"/>
    <col min="13" max="13" width="5.4375" customWidth="1"/>
    <col min="14" max="14" width="16.125" customWidth="1"/>
    <col min="15" max="15" width="11.4375" customWidth="1"/>
  </cols>
  <sheetData>
    <row r="1" spans="1:23" ht="90" customHeight="1">
      <c r="A1" s="2"/>
      <c r="B1" s="28" t="s">
        <v>36</v>
      </c>
      <c r="C1" s="3"/>
      <c r="D1" s="3"/>
      <c r="E1" s="4"/>
      <c r="F1" s="4"/>
      <c r="G1" s="4"/>
      <c r="H1" s="4"/>
      <c r="I1" s="4"/>
      <c r="J1" s="2"/>
      <c r="K1" s="1"/>
      <c r="L1" s="1"/>
      <c r="M1" s="1"/>
      <c r="N1" s="1"/>
      <c r="O1" s="1"/>
      <c r="P1" s="1"/>
      <c r="Q1" s="1"/>
      <c r="R1" s="1"/>
      <c r="S1" s="1"/>
      <c r="T1" s="1"/>
    </row>
    <row r="2" spans="1:23" s="8" customFormat="1" ht="44" customHeight="1">
      <c r="A2" s="2"/>
      <c r="B2" s="6" t="s">
        <v>119</v>
      </c>
      <c r="C2" s="11"/>
      <c r="D2" s="32"/>
      <c r="E2" s="32"/>
      <c r="F2" s="7"/>
      <c r="G2" s="7"/>
      <c r="H2" s="33"/>
      <c r="I2" s="33"/>
      <c r="J2" s="7"/>
      <c r="K2" s="5"/>
      <c r="L2" s="5"/>
      <c r="M2" s="5"/>
    </row>
    <row r="3" spans="1:23" s="10" customFormat="1" ht="30" customHeight="1">
      <c r="A3" s="9"/>
      <c r="B3" s="20" t="s">
        <v>1</v>
      </c>
      <c r="C3" s="20" t="s">
        <v>40</v>
      </c>
      <c r="D3" s="20" t="s">
        <v>37</v>
      </c>
      <c r="E3" s="20" t="s">
        <v>38</v>
      </c>
      <c r="F3" s="20" t="s">
        <v>39</v>
      </c>
      <c r="G3" s="37" t="s">
        <v>120</v>
      </c>
      <c r="H3" s="38" t="s">
        <v>124</v>
      </c>
      <c r="I3" s="20"/>
      <c r="J3" s="20"/>
      <c r="K3" s="20"/>
      <c r="L3" s="20"/>
    </row>
    <row r="4" spans="1:23" ht="30" customHeight="1">
      <c r="A4" s="2"/>
      <c r="B4" s="29" t="s">
        <v>45</v>
      </c>
      <c r="C4" s="29" t="s">
        <v>44</v>
      </c>
      <c r="D4" s="29" t="s">
        <v>41</v>
      </c>
      <c r="E4" s="29" t="s">
        <v>43</v>
      </c>
      <c r="F4" s="29" t="s">
        <v>42</v>
      </c>
      <c r="G4" s="36" t="s">
        <v>121</v>
      </c>
      <c r="H4" s="39" t="s">
        <v>125</v>
      </c>
      <c r="I4" s="12"/>
      <c r="J4" s="20"/>
      <c r="K4" s="20"/>
      <c r="L4" s="20"/>
      <c r="M4" s="1"/>
      <c r="N4" s="1"/>
      <c r="O4" s="1"/>
      <c r="P4" s="1"/>
      <c r="Q4" s="1"/>
      <c r="R4" s="1"/>
      <c r="S4" s="1"/>
      <c r="T4" s="1"/>
    </row>
    <row r="5" spans="1:23" ht="30" customHeight="1">
      <c r="A5" s="2"/>
      <c r="B5" s="29" t="s">
        <v>45</v>
      </c>
      <c r="C5" s="29" t="s">
        <v>44</v>
      </c>
      <c r="D5" s="29" t="s">
        <v>46</v>
      </c>
      <c r="E5" s="29" t="s">
        <v>47</v>
      </c>
      <c r="F5" s="29" t="s">
        <v>48</v>
      </c>
      <c r="G5" s="36" t="s">
        <v>121</v>
      </c>
      <c r="H5" s="39" t="s">
        <v>126</v>
      </c>
      <c r="I5" s="12"/>
      <c r="J5" s="20"/>
      <c r="K5" s="20"/>
      <c r="L5" s="20"/>
      <c r="M5" s="1"/>
      <c r="N5" s="1"/>
      <c r="O5" s="1"/>
      <c r="P5" s="1"/>
      <c r="Q5" s="1"/>
      <c r="R5" s="1"/>
      <c r="S5" s="1"/>
      <c r="T5" s="1"/>
    </row>
    <row r="6" spans="1:23" ht="30" customHeight="1">
      <c r="A6" s="2"/>
      <c r="B6" s="12" t="s">
        <v>45</v>
      </c>
      <c r="C6" s="29" t="s">
        <v>44</v>
      </c>
      <c r="D6" s="29" t="s">
        <v>49</v>
      </c>
      <c r="E6" s="29" t="s">
        <v>50</v>
      </c>
      <c r="F6" s="29" t="s">
        <v>48</v>
      </c>
      <c r="G6" s="36" t="s">
        <v>121</v>
      </c>
      <c r="H6" s="39" t="s">
        <v>127</v>
      </c>
      <c r="I6" s="12"/>
      <c r="J6" s="20"/>
      <c r="K6" s="20"/>
      <c r="L6" s="20"/>
      <c r="M6" s="1"/>
      <c r="N6" s="1"/>
      <c r="O6" s="1"/>
      <c r="P6" s="1"/>
      <c r="Q6" s="1"/>
      <c r="R6" s="1"/>
      <c r="S6" s="1"/>
      <c r="T6" s="1"/>
    </row>
    <row r="7" spans="1:23" ht="30" customHeight="1">
      <c r="A7" s="2"/>
      <c r="B7" s="29" t="s">
        <v>54</v>
      </c>
      <c r="C7" s="29" t="s">
        <v>51</v>
      </c>
      <c r="D7" s="29" t="s">
        <v>52</v>
      </c>
      <c r="E7" s="29" t="s">
        <v>53</v>
      </c>
      <c r="F7" s="29" t="s">
        <v>48</v>
      </c>
      <c r="G7" s="36" t="s">
        <v>121</v>
      </c>
      <c r="H7" s="39" t="s">
        <v>128</v>
      </c>
      <c r="I7" s="12"/>
      <c r="J7" s="20"/>
      <c r="K7" s="20"/>
      <c r="L7" s="20"/>
      <c r="M7" s="1"/>
      <c r="N7" s="1"/>
      <c r="O7" s="1"/>
      <c r="P7" s="1"/>
      <c r="Q7" s="1"/>
      <c r="R7" s="1"/>
      <c r="S7" s="1"/>
      <c r="T7" s="1"/>
    </row>
    <row r="8" spans="1:23" ht="30" customHeight="1">
      <c r="A8" s="2"/>
      <c r="B8" s="29" t="s">
        <v>57</v>
      </c>
      <c r="C8" s="29" t="s">
        <v>51</v>
      </c>
      <c r="D8" s="29" t="s">
        <v>55</v>
      </c>
      <c r="E8" s="29" t="s">
        <v>56</v>
      </c>
      <c r="F8" s="29" t="s">
        <v>48</v>
      </c>
      <c r="G8" s="36" t="s">
        <v>121</v>
      </c>
      <c r="H8" s="39" t="s">
        <v>129</v>
      </c>
      <c r="I8" s="12"/>
      <c r="J8" s="20"/>
      <c r="K8" s="20"/>
      <c r="L8" s="20"/>
      <c r="M8" s="1"/>
      <c r="N8" s="1"/>
      <c r="O8" s="1"/>
      <c r="P8" s="1"/>
      <c r="Q8" s="1"/>
      <c r="R8" s="1"/>
      <c r="S8" s="1"/>
      <c r="T8" s="1"/>
    </row>
    <row r="9" spans="1:23" ht="30" customHeight="1">
      <c r="A9" s="2"/>
      <c r="B9" s="29" t="s">
        <v>61</v>
      </c>
      <c r="C9" s="29" t="s">
        <v>60</v>
      </c>
      <c r="D9" s="12" t="s">
        <v>58</v>
      </c>
      <c r="E9" s="29" t="s">
        <v>59</v>
      </c>
      <c r="F9" s="29" t="s">
        <v>42</v>
      </c>
      <c r="G9" s="36" t="s">
        <v>122</v>
      </c>
      <c r="H9" s="39" t="s">
        <v>130</v>
      </c>
      <c r="I9" s="12"/>
      <c r="J9" s="20"/>
      <c r="K9" s="20"/>
      <c r="L9" s="20"/>
      <c r="M9" s="1"/>
      <c r="N9" s="1"/>
      <c r="O9" s="1"/>
      <c r="P9" s="1"/>
      <c r="Q9" s="1"/>
      <c r="R9" s="1"/>
      <c r="S9" s="1"/>
      <c r="T9" s="1"/>
    </row>
    <row r="10" spans="1:23" ht="30" customHeight="1">
      <c r="A10" s="2"/>
      <c r="B10" s="29" t="s">
        <v>65</v>
      </c>
      <c r="C10" s="29" t="s">
        <v>62</v>
      </c>
      <c r="D10" s="12" t="s">
        <v>63</v>
      </c>
      <c r="E10" s="29" t="s">
        <v>64</v>
      </c>
      <c r="F10" s="29" t="s">
        <v>48</v>
      </c>
      <c r="G10" s="36" t="s">
        <v>123</v>
      </c>
      <c r="H10" s="39" t="s">
        <v>131</v>
      </c>
      <c r="I10" s="12"/>
      <c r="J10" s="20"/>
      <c r="K10" s="20"/>
      <c r="L10" s="20"/>
      <c r="M10" s="1"/>
      <c r="N10" s="1"/>
      <c r="O10" s="1"/>
      <c r="P10" s="1"/>
      <c r="Q10" s="1"/>
      <c r="R10" s="1"/>
      <c r="S10" s="1"/>
      <c r="T10" s="1"/>
    </row>
    <row r="11" spans="1:23" ht="30" customHeight="1">
      <c r="A11" s="2"/>
      <c r="B11" s="31" t="s">
        <v>68</v>
      </c>
      <c r="C11" s="29" t="s">
        <v>67</v>
      </c>
      <c r="D11" s="12" t="s">
        <v>66</v>
      </c>
      <c r="E11" s="29" t="s">
        <v>53</v>
      </c>
      <c r="F11" s="29" t="s">
        <v>42</v>
      </c>
      <c r="G11" s="36" t="s">
        <v>121</v>
      </c>
      <c r="H11" s="39" t="s">
        <v>126</v>
      </c>
      <c r="I11" s="12"/>
      <c r="J11" s="20"/>
      <c r="K11" s="20"/>
      <c r="L11" s="20"/>
      <c r="M11" s="1"/>
      <c r="N11" s="1"/>
      <c r="O11" s="1"/>
      <c r="P11" s="1"/>
      <c r="Q11" s="1"/>
      <c r="R11" s="1"/>
      <c r="S11" s="1"/>
      <c r="T11" s="1"/>
    </row>
    <row r="12" spans="1:23" ht="30" customHeight="1">
      <c r="A12" s="2"/>
      <c r="B12" s="29" t="s">
        <v>70</v>
      </c>
      <c r="C12" s="29" t="s">
        <v>60</v>
      </c>
      <c r="D12" s="12" t="s">
        <v>69</v>
      </c>
      <c r="E12" s="29" t="s">
        <v>71</v>
      </c>
      <c r="F12" s="29" t="s">
        <v>48</v>
      </c>
      <c r="G12" s="36" t="s">
        <v>122</v>
      </c>
      <c r="H12" s="39" t="s">
        <v>130</v>
      </c>
      <c r="I12" s="12"/>
      <c r="J12" s="20"/>
      <c r="K12" s="20"/>
      <c r="L12" s="20"/>
      <c r="M12" s="1"/>
      <c r="N12" s="1"/>
      <c r="O12" s="1"/>
      <c r="P12" s="1"/>
      <c r="Q12" s="1"/>
      <c r="R12" s="1"/>
      <c r="S12" s="1"/>
      <c r="T12" s="1"/>
    </row>
    <row r="13" spans="1:23" ht="30" customHeight="1">
      <c r="A13" s="2"/>
      <c r="B13" s="29" t="s">
        <v>75</v>
      </c>
      <c r="C13" s="29" t="s">
        <v>74</v>
      </c>
      <c r="D13" s="12" t="s">
        <v>72</v>
      </c>
      <c r="E13" s="29" t="s">
        <v>73</v>
      </c>
      <c r="F13" s="29" t="s">
        <v>42</v>
      </c>
      <c r="G13" s="36" t="s">
        <v>121</v>
      </c>
      <c r="H13" s="39" t="s">
        <v>126</v>
      </c>
      <c r="I13" s="12"/>
      <c r="J13" s="20"/>
      <c r="K13" s="20"/>
      <c r="L13" s="20"/>
      <c r="M13" s="1"/>
      <c r="N13" s="1"/>
      <c r="O13" s="1"/>
      <c r="P13" s="1"/>
      <c r="Q13" s="1"/>
      <c r="R13" s="1"/>
      <c r="S13" s="1"/>
      <c r="T13" s="1"/>
    </row>
    <row r="14" spans="1:23" ht="30" customHeight="1">
      <c r="A14" s="2"/>
      <c r="B14" s="29" t="s">
        <v>79</v>
      </c>
      <c r="C14" s="29" t="s">
        <v>78</v>
      </c>
      <c r="D14" s="12" t="s">
        <v>76</v>
      </c>
      <c r="E14" s="29" t="s">
        <v>77</v>
      </c>
      <c r="F14" s="29" t="s">
        <v>42</v>
      </c>
      <c r="G14" s="36" t="s">
        <v>123</v>
      </c>
      <c r="H14" s="39" t="s">
        <v>131</v>
      </c>
      <c r="I14" s="12"/>
      <c r="J14" s="20"/>
      <c r="K14" s="20"/>
      <c r="L14" s="20"/>
      <c r="M14" s="1"/>
      <c r="N14" s="1"/>
      <c r="O14" s="1"/>
      <c r="P14" s="1"/>
      <c r="Q14" s="1"/>
      <c r="R14" s="1"/>
      <c r="S14" s="1"/>
      <c r="T14" s="1"/>
    </row>
    <row r="15" spans="1:23" ht="30" customHeight="1">
      <c r="A15" s="2"/>
      <c r="B15" s="30" t="s">
        <v>82</v>
      </c>
      <c r="C15" s="30" t="s">
        <v>51</v>
      </c>
      <c r="D15" s="30" t="s">
        <v>80</v>
      </c>
      <c r="E15" s="30" t="s">
        <v>81</v>
      </c>
      <c r="F15" s="30" t="s">
        <v>48</v>
      </c>
      <c r="G15" s="36" t="s">
        <v>121</v>
      </c>
      <c r="H15" s="39" t="s">
        <v>126</v>
      </c>
      <c r="I15" s="2"/>
      <c r="J15" s="2"/>
      <c r="K15" s="2"/>
      <c r="L15" s="2"/>
      <c r="M15" s="2"/>
    </row>
    <row r="16" spans="1:23" ht="30" customHeight="1">
      <c r="B16" s="30" t="s">
        <v>85</v>
      </c>
      <c r="C16" s="30" t="s">
        <v>60</v>
      </c>
      <c r="D16" s="30" t="s">
        <v>83</v>
      </c>
      <c r="E16" s="30" t="s">
        <v>84</v>
      </c>
      <c r="F16" s="30" t="s">
        <v>42</v>
      </c>
      <c r="G16" s="36" t="s">
        <v>122</v>
      </c>
      <c r="H16" s="39" t="s">
        <v>130</v>
      </c>
      <c r="I16" s="1"/>
      <c r="J16" s="1"/>
      <c r="K16" s="1"/>
      <c r="L16" s="1"/>
      <c r="M16" s="1"/>
      <c r="N16" s="1"/>
      <c r="O16" s="1"/>
      <c r="P16" s="1"/>
      <c r="Q16" s="1"/>
      <c r="R16" s="1"/>
      <c r="S16" s="1"/>
      <c r="T16" s="1"/>
      <c r="U16" s="1"/>
      <c r="V16" s="1"/>
      <c r="W16" s="1"/>
    </row>
    <row r="17" spans="2:23" ht="30" customHeight="1">
      <c r="B17" s="30" t="s">
        <v>88</v>
      </c>
      <c r="C17" s="30" t="s">
        <v>44</v>
      </c>
      <c r="D17" s="30" t="s">
        <v>86</v>
      </c>
      <c r="E17" s="30" t="s">
        <v>87</v>
      </c>
      <c r="F17" s="30" t="s">
        <v>48</v>
      </c>
      <c r="G17" s="36" t="s">
        <v>121</v>
      </c>
      <c r="H17" s="39" t="s">
        <v>126</v>
      </c>
      <c r="I17" s="1"/>
      <c r="J17" s="1"/>
      <c r="K17" s="1"/>
      <c r="L17" s="1"/>
      <c r="M17" s="1"/>
      <c r="N17" s="1"/>
      <c r="O17" s="1"/>
      <c r="P17" s="1"/>
      <c r="Q17" s="1"/>
      <c r="R17" s="1"/>
      <c r="S17" s="1"/>
      <c r="T17" s="1"/>
      <c r="U17" s="1"/>
      <c r="V17" s="1"/>
      <c r="W17" s="1"/>
    </row>
    <row r="18" spans="2:23" ht="30" customHeight="1">
      <c r="B18" s="30" t="s">
        <v>88</v>
      </c>
      <c r="C18" s="30" t="s">
        <v>44</v>
      </c>
      <c r="D18" s="30" t="s">
        <v>89</v>
      </c>
      <c r="E18" s="30" t="s">
        <v>90</v>
      </c>
      <c r="F18" s="30" t="s">
        <v>48</v>
      </c>
      <c r="G18" s="36" t="s">
        <v>121</v>
      </c>
      <c r="H18" s="39" t="s">
        <v>126</v>
      </c>
      <c r="I18" s="1"/>
      <c r="J18" s="1"/>
      <c r="K18" s="1"/>
      <c r="L18" s="1"/>
      <c r="M18" s="1"/>
      <c r="N18" s="1"/>
      <c r="O18" s="1"/>
      <c r="P18" s="1"/>
      <c r="Q18" s="1"/>
      <c r="R18" s="1"/>
      <c r="S18" s="1"/>
      <c r="T18" s="1"/>
      <c r="U18" s="1"/>
      <c r="V18" s="1"/>
      <c r="W18" s="1"/>
    </row>
    <row r="19" spans="2:23" ht="30" customHeight="1">
      <c r="B19" s="30" t="s">
        <v>88</v>
      </c>
      <c r="C19" s="30" t="s">
        <v>44</v>
      </c>
      <c r="D19" s="30" t="s">
        <v>91</v>
      </c>
      <c r="E19" s="30" t="s">
        <v>92</v>
      </c>
      <c r="F19" s="30" t="s">
        <v>48</v>
      </c>
      <c r="G19" s="36" t="s">
        <v>122</v>
      </c>
      <c r="H19" s="39" t="s">
        <v>130</v>
      </c>
      <c r="I19" s="1"/>
      <c r="J19" s="1"/>
      <c r="K19" s="1"/>
      <c r="L19" s="1"/>
      <c r="M19" s="1"/>
      <c r="N19" s="1"/>
      <c r="O19" s="1"/>
      <c r="P19" s="1"/>
      <c r="Q19" s="1"/>
      <c r="R19" s="1"/>
      <c r="S19" s="1"/>
      <c r="T19" s="1"/>
      <c r="U19" s="1"/>
      <c r="V19" s="1"/>
      <c r="W19" s="1"/>
    </row>
    <row r="20" spans="2:23" ht="42.4" customHeight="1">
      <c r="B20" s="30" t="s">
        <v>95</v>
      </c>
      <c r="C20" s="30" t="s">
        <v>60</v>
      </c>
      <c r="D20" s="30" t="s">
        <v>93</v>
      </c>
      <c r="E20" s="30" t="s">
        <v>94</v>
      </c>
      <c r="F20" s="30" t="s">
        <v>48</v>
      </c>
      <c r="G20" s="36" t="s">
        <v>122</v>
      </c>
      <c r="H20" s="39" t="s">
        <v>130</v>
      </c>
      <c r="I20" s="1"/>
      <c r="J20" s="1"/>
      <c r="K20" s="1"/>
      <c r="L20" s="1"/>
      <c r="M20" s="1"/>
      <c r="N20" s="1"/>
      <c r="O20" s="1"/>
      <c r="P20" s="1"/>
      <c r="Q20" s="1"/>
      <c r="R20" s="1"/>
      <c r="S20" s="1"/>
      <c r="T20" s="1"/>
      <c r="U20" s="1"/>
      <c r="V20" s="1"/>
      <c r="W20" s="1"/>
    </row>
    <row r="21" spans="2:23" ht="30" customHeight="1">
      <c r="B21" s="30" t="s">
        <v>88</v>
      </c>
      <c r="C21" s="30" t="s">
        <v>44</v>
      </c>
      <c r="D21" s="30" t="s">
        <v>96</v>
      </c>
      <c r="E21" s="30" t="s">
        <v>97</v>
      </c>
      <c r="F21" s="30" t="s">
        <v>42</v>
      </c>
      <c r="G21" s="36" t="s">
        <v>122</v>
      </c>
      <c r="H21" s="39" t="s">
        <v>130</v>
      </c>
      <c r="I21" s="1"/>
      <c r="J21" s="1"/>
      <c r="K21" s="1"/>
      <c r="L21" s="1"/>
      <c r="M21" s="1"/>
      <c r="N21" s="1"/>
      <c r="O21" s="1"/>
      <c r="P21" s="1"/>
      <c r="Q21" s="1"/>
      <c r="R21" s="1"/>
      <c r="S21" s="1"/>
      <c r="T21" s="1"/>
      <c r="U21" s="1"/>
      <c r="V21" s="1"/>
      <c r="W21" s="1"/>
    </row>
    <row r="22" spans="2:23" ht="30" customHeight="1">
      <c r="B22" s="30" t="s">
        <v>100</v>
      </c>
      <c r="C22" s="30" t="s">
        <v>60</v>
      </c>
      <c r="D22" s="30" t="s">
        <v>98</v>
      </c>
      <c r="E22" s="30" t="s">
        <v>99</v>
      </c>
      <c r="F22" s="30" t="s">
        <v>48</v>
      </c>
      <c r="G22" s="36" t="s">
        <v>122</v>
      </c>
      <c r="H22" s="39" t="s">
        <v>130</v>
      </c>
      <c r="I22" s="1"/>
      <c r="J22" s="1"/>
      <c r="K22" s="1"/>
      <c r="L22" s="1"/>
      <c r="M22" s="1"/>
      <c r="N22" s="1"/>
      <c r="O22" s="1"/>
      <c r="P22" s="1"/>
      <c r="Q22" s="1"/>
      <c r="R22" s="1"/>
      <c r="S22" s="1"/>
      <c r="T22" s="1"/>
      <c r="U22" s="1"/>
      <c r="V22" s="1"/>
      <c r="W22" s="1"/>
    </row>
    <row r="23" spans="2:23" ht="30" customHeight="1">
      <c r="B23" s="30" t="s">
        <v>103</v>
      </c>
      <c r="C23" s="30" t="s">
        <v>60</v>
      </c>
      <c r="D23" s="30" t="s">
        <v>101</v>
      </c>
      <c r="E23" s="30" t="s">
        <v>102</v>
      </c>
      <c r="F23" s="30" t="s">
        <v>48</v>
      </c>
      <c r="G23" s="36" t="s">
        <v>122</v>
      </c>
      <c r="H23" s="39" t="s">
        <v>130</v>
      </c>
      <c r="I23" s="1"/>
      <c r="J23" s="1"/>
      <c r="K23" s="1"/>
      <c r="L23" s="1"/>
      <c r="M23" s="1"/>
      <c r="N23" s="1"/>
      <c r="O23" s="1"/>
      <c r="P23" s="1"/>
      <c r="Q23" s="1"/>
      <c r="R23" s="1"/>
      <c r="S23" s="1"/>
      <c r="T23" s="1"/>
      <c r="U23" s="1"/>
      <c r="V23" s="1"/>
      <c r="W23" s="1"/>
    </row>
    <row r="24" spans="2:23" ht="30" customHeight="1">
      <c r="B24" s="30" t="s">
        <v>106</v>
      </c>
      <c r="C24" s="30" t="s">
        <v>51</v>
      </c>
      <c r="D24" s="30" t="s">
        <v>104</v>
      </c>
      <c r="E24" s="30" t="s">
        <v>105</v>
      </c>
      <c r="F24" s="30" t="s">
        <v>48</v>
      </c>
      <c r="G24" s="36" t="s">
        <v>121</v>
      </c>
      <c r="H24" s="39" t="s">
        <v>126</v>
      </c>
      <c r="I24" s="1"/>
      <c r="J24" s="1"/>
      <c r="K24" s="1"/>
      <c r="L24" s="1"/>
      <c r="M24" s="1"/>
      <c r="N24" s="1"/>
      <c r="O24" s="1"/>
      <c r="P24" s="1"/>
      <c r="Q24" s="1"/>
      <c r="R24" s="1"/>
      <c r="S24" s="1"/>
      <c r="T24" s="1"/>
      <c r="U24" s="1"/>
      <c r="V24" s="1"/>
      <c r="W24" s="1"/>
    </row>
    <row r="25" spans="2:23" ht="30" customHeight="1">
      <c r="B25" s="30" t="s">
        <v>110</v>
      </c>
      <c r="C25" s="30" t="s">
        <v>109</v>
      </c>
      <c r="D25" s="30" t="s">
        <v>107</v>
      </c>
      <c r="E25" s="30" t="s">
        <v>108</v>
      </c>
      <c r="F25" s="30" t="s">
        <v>48</v>
      </c>
      <c r="G25" s="36" t="s">
        <v>121</v>
      </c>
      <c r="H25" s="39" t="s">
        <v>126</v>
      </c>
      <c r="I25" s="1"/>
      <c r="J25" s="1"/>
      <c r="K25" s="1"/>
      <c r="L25" s="1"/>
      <c r="M25" s="1"/>
      <c r="N25" s="1"/>
      <c r="O25" s="1"/>
      <c r="P25" s="1"/>
      <c r="Q25" s="1"/>
      <c r="R25" s="1"/>
      <c r="S25" s="1"/>
      <c r="T25" s="1"/>
      <c r="U25" s="1"/>
      <c r="V25" s="1"/>
      <c r="W25" s="1"/>
    </row>
    <row r="26" spans="2:23" ht="30" customHeight="1">
      <c r="B26" s="30" t="s">
        <v>45</v>
      </c>
      <c r="C26" s="30" t="s">
        <v>44</v>
      </c>
      <c r="D26" s="30" t="s">
        <v>111</v>
      </c>
      <c r="E26" s="30" t="s">
        <v>112</v>
      </c>
      <c r="F26" s="30" t="s">
        <v>48</v>
      </c>
      <c r="G26" s="36" t="s">
        <v>121</v>
      </c>
      <c r="H26" s="39" t="s">
        <v>126</v>
      </c>
      <c r="I26" s="1"/>
      <c r="J26" s="1"/>
      <c r="K26" s="1"/>
      <c r="L26" s="1"/>
      <c r="M26" s="1"/>
      <c r="N26" s="1"/>
      <c r="O26" s="1"/>
      <c r="P26" s="1"/>
      <c r="Q26" s="1"/>
      <c r="R26" s="1"/>
      <c r="S26" s="1"/>
      <c r="T26" s="1"/>
      <c r="U26" s="1"/>
      <c r="V26" s="1"/>
      <c r="W26" s="1"/>
    </row>
    <row r="27" spans="2:23" ht="30" customHeight="1">
      <c r="B27" s="30" t="s">
        <v>115</v>
      </c>
      <c r="C27" s="30" t="s">
        <v>44</v>
      </c>
      <c r="D27" s="30" t="s">
        <v>113</v>
      </c>
      <c r="E27" s="30" t="s">
        <v>114</v>
      </c>
      <c r="F27" s="30" t="s">
        <v>48</v>
      </c>
      <c r="G27" s="36" t="s">
        <v>121</v>
      </c>
      <c r="H27" s="39" t="s">
        <v>126</v>
      </c>
      <c r="I27" s="1"/>
      <c r="J27" s="1"/>
      <c r="K27" s="1"/>
      <c r="L27" s="1"/>
      <c r="M27" s="1"/>
      <c r="N27" s="1"/>
      <c r="O27" s="1"/>
      <c r="P27" s="1"/>
      <c r="Q27" s="1"/>
      <c r="R27" s="1"/>
      <c r="S27" s="1"/>
      <c r="T27" s="1"/>
      <c r="U27" s="1"/>
      <c r="V27" s="1"/>
      <c r="W27" s="1"/>
    </row>
    <row r="28" spans="2:23" ht="30" customHeight="1">
      <c r="B28" s="30" t="s">
        <v>118</v>
      </c>
      <c r="C28" s="30" t="s">
        <v>44</v>
      </c>
      <c r="D28" s="30" t="s">
        <v>116</v>
      </c>
      <c r="E28" s="30" t="s">
        <v>117</v>
      </c>
      <c r="F28" s="30" t="s">
        <v>48</v>
      </c>
      <c r="G28" s="36" t="s">
        <v>121</v>
      </c>
      <c r="H28" s="39" t="s">
        <v>126</v>
      </c>
      <c r="I28" s="1"/>
      <c r="J28" s="1"/>
      <c r="K28" s="1"/>
      <c r="L28" s="1"/>
      <c r="M28" s="1"/>
      <c r="N28" s="1"/>
      <c r="O28" s="1"/>
      <c r="P28" s="1"/>
      <c r="Q28" s="1"/>
      <c r="R28" s="1"/>
      <c r="S28" s="1"/>
      <c r="T28" s="1"/>
      <c r="U28" s="1"/>
      <c r="V28" s="1"/>
      <c r="W28" s="1"/>
    </row>
    <row r="29" spans="2:23" ht="30" customHeight="1">
      <c r="B29" s="1"/>
      <c r="C29" s="1"/>
      <c r="D29" s="1"/>
      <c r="E29" s="1"/>
      <c r="F29" s="1"/>
      <c r="G29" s="1"/>
      <c r="H29" s="1"/>
      <c r="I29" s="1"/>
      <c r="J29" s="1"/>
      <c r="K29" s="1"/>
      <c r="L29" s="1"/>
      <c r="M29" s="1"/>
      <c r="N29" s="1"/>
      <c r="O29" s="1"/>
      <c r="P29" s="1"/>
      <c r="Q29" s="1"/>
      <c r="R29" s="1"/>
      <c r="S29" s="1"/>
      <c r="T29" s="1"/>
      <c r="U29" s="1"/>
      <c r="V29" s="1"/>
      <c r="W29" s="1"/>
    </row>
    <row r="30" spans="2:23" ht="30" customHeight="1">
      <c r="B30" s="1"/>
      <c r="C30" s="1"/>
      <c r="D30" s="1"/>
      <c r="E30" s="1"/>
      <c r="F30" s="1"/>
      <c r="G30" s="1"/>
      <c r="H30" s="1"/>
      <c r="I30" s="1"/>
      <c r="J30" s="1"/>
      <c r="K30" s="1"/>
      <c r="L30" s="1"/>
      <c r="M30" s="1"/>
      <c r="N30" s="1"/>
      <c r="O30" s="1"/>
      <c r="P30" s="1"/>
      <c r="Q30" s="1"/>
      <c r="R30" s="1"/>
      <c r="S30" s="1"/>
      <c r="T30" s="1"/>
      <c r="U30" s="1"/>
      <c r="V30" s="1"/>
      <c r="W30" s="1"/>
    </row>
    <row r="31" spans="2:23" ht="30" customHeight="1">
      <c r="B31" s="1"/>
      <c r="C31" s="1"/>
      <c r="D31" s="1"/>
      <c r="E31" s="1"/>
      <c r="F31" s="1"/>
      <c r="G31" s="1"/>
      <c r="H31" s="1"/>
      <c r="I31" s="1"/>
      <c r="J31" s="1"/>
      <c r="K31" s="1"/>
      <c r="L31" s="1"/>
      <c r="M31" s="1"/>
      <c r="N31" s="1"/>
      <c r="O31" s="1"/>
      <c r="P31" s="1"/>
      <c r="Q31" s="1"/>
      <c r="R31" s="1"/>
      <c r="S31" s="1"/>
      <c r="T31" s="1"/>
      <c r="U31" s="1"/>
      <c r="V31" s="1"/>
      <c r="W31" s="1"/>
    </row>
    <row r="32" spans="2:23" ht="30" customHeight="1">
      <c r="B32" s="1"/>
      <c r="C32" s="1"/>
      <c r="D32" s="1"/>
      <c r="E32" s="1"/>
      <c r="F32" s="1"/>
      <c r="G32" s="1"/>
      <c r="H32" s="1"/>
      <c r="I32" s="1"/>
      <c r="J32" s="1"/>
      <c r="K32" s="1"/>
      <c r="L32" s="1"/>
      <c r="M32" s="1"/>
      <c r="N32" s="1"/>
      <c r="O32" s="1"/>
      <c r="P32" s="1"/>
      <c r="Q32" s="1"/>
      <c r="R32" s="1"/>
      <c r="S32" s="1"/>
      <c r="T32" s="1"/>
      <c r="U32" s="1"/>
      <c r="V32" s="1"/>
      <c r="W32" s="1"/>
    </row>
    <row r="33" spans="2:23" ht="30" customHeight="1">
      <c r="B33" s="1"/>
      <c r="C33" s="1"/>
      <c r="D33" s="1"/>
      <c r="E33" s="1"/>
      <c r="F33" s="1"/>
      <c r="G33" s="1"/>
      <c r="H33" s="1"/>
      <c r="I33" s="1"/>
      <c r="J33" s="1"/>
      <c r="K33" s="1"/>
      <c r="L33" s="1"/>
      <c r="M33" s="1"/>
      <c r="N33" s="1"/>
      <c r="O33" s="1"/>
      <c r="P33" s="1"/>
      <c r="Q33" s="1"/>
      <c r="R33" s="1"/>
      <c r="S33" s="1"/>
      <c r="T33" s="1"/>
      <c r="U33" s="1"/>
      <c r="V33" s="1"/>
      <c r="W33" s="1"/>
    </row>
    <row r="34" spans="2:23" ht="30" customHeight="1">
      <c r="B34" s="1"/>
      <c r="C34" s="1"/>
      <c r="D34" s="1"/>
      <c r="E34" s="1"/>
      <c r="F34" s="1"/>
      <c r="G34" s="1"/>
      <c r="H34" s="1"/>
      <c r="I34" s="1"/>
      <c r="J34" s="1"/>
      <c r="K34" s="1"/>
      <c r="L34" s="1"/>
      <c r="M34" s="1"/>
      <c r="N34" s="1"/>
      <c r="O34" s="1"/>
      <c r="P34" s="1"/>
      <c r="Q34" s="1"/>
      <c r="R34" s="1"/>
      <c r="S34" s="1"/>
      <c r="T34" s="1"/>
      <c r="U34" s="1"/>
      <c r="V34" s="1"/>
      <c r="W34" s="1"/>
    </row>
    <row r="35" spans="2:23" ht="30" customHeight="1">
      <c r="B35" s="1"/>
      <c r="C35" s="1"/>
      <c r="D35" s="1"/>
      <c r="E35" s="1"/>
      <c r="F35" s="1"/>
      <c r="G35" s="1"/>
      <c r="H35" s="1"/>
      <c r="I35" s="1"/>
      <c r="J35" s="1"/>
      <c r="K35" s="1"/>
      <c r="L35" s="1"/>
      <c r="M35" s="1"/>
      <c r="N35" s="1"/>
      <c r="O35" s="1"/>
      <c r="P35" s="1"/>
      <c r="Q35" s="1"/>
      <c r="R35" s="1"/>
      <c r="S35" s="1"/>
      <c r="T35" s="1"/>
      <c r="U35" s="1"/>
      <c r="V35" s="1"/>
      <c r="W35" s="1"/>
    </row>
  </sheetData>
  <mergeCells count="2">
    <mergeCell ref="D2:E2"/>
    <mergeCell ref="H2:I2"/>
  </mergeCells>
  <phoneticPr fontId="25" type="noConversion"/>
  <dataValidations count="12">
    <dataValidation allowBlank="1" showInputMessage="1" showErrorMessage="1" prompt="This worksheet shows items ready for reordering--automatically flagged in column K. There are 2 navigation links in cells J1 and K1 for Inventory Pick List &amp; Bin Lookup worksheets" sqref="A1" xr:uid="{00000000-0002-0000-0000-000000000000}"/>
    <dataValidation allowBlank="1" showInputMessage="1" showErrorMessage="1" prompt="Enter SKU in this column" sqref="B3" xr:uid="{00000000-0002-0000-0000-000004000000}"/>
    <dataValidation allowBlank="1" showInputMessage="1" showErrorMessage="1" prompt="Enter a description of the item in this column" sqref="C3" xr:uid="{00000000-0002-0000-0000-000005000000}"/>
    <dataValidation allowBlank="1" showInputMessage="1" showErrorMessage="1" prompt="Select the bin number from the dropdown list. Press ALT+DOWN ARROW to open the dropdown list then press ENTER to choose one of the items" sqref="D3" xr:uid="{00000000-0002-0000-0000-000006000000}"/>
    <dataValidation allowBlank="1" showInputMessage="1" showErrorMessage="1" prompt="Location is automatically updated in this column using the Bin # and information in the Bin Lookup worksheet " sqref="E3" xr:uid="{00000000-0002-0000-0000-000007000000}"/>
    <dataValidation allowBlank="1" showInputMessage="1" showErrorMessage="1" prompt="Enter unit in this column" sqref="J4:L14 F3:L3" xr:uid="{00000000-0002-0000-0000-000008000000}"/>
    <dataValidation type="list" errorStyle="warning" allowBlank="1" showInputMessage="1" showErrorMessage="1" error="This Bin # isn't in the list. Select Yes to retain the entry, Cancel to add it to the table on the Bin Lookup worksheet, which will add the Bin # to this drop down list, or No, then ALT + DOWN ARROW to select from the list" sqref="D4:D28" xr:uid="{00000000-0002-0000-0000-00000E000000}">
      <formula1>BinNumber</formula1>
    </dataValidation>
    <dataValidation allowBlank="1" showInputMessage="1" showErrorMessage="1" prompt="Total bin count is automatically updated in the cell to the right_x000a_" sqref="H2:I2" xr:uid="{023083C3-470E-4610-ACB4-EBEC5133F57E}"/>
    <dataValidation allowBlank="1" showInputMessage="1" showErrorMessage="1" prompt="Total number of inventory items is automatically updated in cell to the right" sqref="D2:E2" xr:uid="{7F85D445-767B-478F-8438-FEC8670E494D}"/>
    <dataValidation allowBlank="1" showInputMessage="1" showErrorMessage="1" prompt="Total inventory value is automatically updated in the cell to the right" sqref="B2" xr:uid="{E70DE412-3A01-4D1C-8843-C36FC445FFDA}"/>
    <dataValidation allowBlank="1" showInputMessage="1" showErrorMessage="1" prompt="Navigation link to Inventory pick List worksheet" sqref="H1" xr:uid="{2C9E762C-3510-4FC2-8A6A-C16411A57D38}"/>
    <dataValidation allowBlank="1" showInputMessage="1" showErrorMessage="1" prompt="Navigation link to bin lookup worksheet" sqref="I1" xr:uid="{49F37312-3798-4B1D-891F-D9D53F60C705}"/>
  </dataValidations>
  <printOptions horizontalCentered="1"/>
  <pageMargins left="0.25" right="0.25" top="0.75" bottom="0.75" header="0.3" footer="0.3"/>
  <pageSetup scale="66" fitToHeight="0" orientation="landscape" r:id="rId1"/>
  <headerFooter differentFirst="1">
    <oddFooter>Page &amp;P of &amp;N</oddFooter>
  </headerFooter>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tPickList">
    <tabColor theme="7" tint="0.39997558519241921"/>
    <pageSetUpPr autoPageBreaks="0" fitToPage="1"/>
  </sheetPr>
  <dimension ref="A1:J9"/>
  <sheetViews>
    <sheetView showGridLines="0" zoomScaleNormal="100" workbookViewId="0"/>
  </sheetViews>
  <sheetFormatPr baseColWidth="10" defaultColWidth="8.875" defaultRowHeight="30" customHeight="1"/>
  <cols>
    <col min="1" max="1" width="5.4375" style="1" customWidth="1"/>
    <col min="2" max="2" width="23.125" style="1" customWidth="1"/>
    <col min="3" max="3" width="23.75" style="1" customWidth="1"/>
    <col min="4" max="4" width="17.25" style="1" customWidth="1"/>
    <col min="5" max="5" width="22" style="1" customWidth="1"/>
    <col min="6" max="6" width="27.125" style="1" customWidth="1"/>
    <col min="7" max="7" width="16.4375" style="1" customWidth="1"/>
    <col min="8" max="8" width="14.6875" style="1" customWidth="1"/>
    <col min="9" max="9" width="23.75" style="1" customWidth="1"/>
    <col min="10" max="10" width="5.4375" style="1" customWidth="1"/>
    <col min="11" max="16384" width="8.875" style="1"/>
  </cols>
  <sheetData>
    <row r="1" spans="1:10" ht="90" customHeight="1">
      <c r="A1" s="13"/>
      <c r="B1" s="34" t="s">
        <v>16</v>
      </c>
      <c r="C1" s="35"/>
      <c r="D1" s="35"/>
      <c r="E1" s="35"/>
      <c r="F1" s="35"/>
      <c r="G1" s="35"/>
      <c r="H1" s="35"/>
      <c r="I1" s="16"/>
      <c r="J1" s="13"/>
    </row>
    <row r="2" spans="1:10" ht="44" customHeight="1">
      <c r="A2" s="13"/>
      <c r="B2" s="14"/>
      <c r="C2" s="15"/>
      <c r="D2" s="15"/>
      <c r="E2" s="15"/>
      <c r="F2" s="15"/>
      <c r="G2" s="15"/>
      <c r="H2" s="15"/>
      <c r="I2" s="15"/>
      <c r="J2" s="13"/>
    </row>
    <row r="3" spans="1:10" s="8" customFormat="1" ht="30" customHeight="1">
      <c r="A3" s="13"/>
      <c r="B3" s="21" t="s">
        <v>17</v>
      </c>
      <c r="C3" s="21" t="s">
        <v>0</v>
      </c>
      <c r="D3" s="21" t="s">
        <v>18</v>
      </c>
      <c r="E3" s="21" t="s">
        <v>19</v>
      </c>
      <c r="F3" s="21" t="s">
        <v>20</v>
      </c>
      <c r="G3" s="21" t="s">
        <v>4</v>
      </c>
      <c r="H3" s="21" t="s">
        <v>2</v>
      </c>
      <c r="I3" s="21" t="s">
        <v>3</v>
      </c>
      <c r="J3" s="13"/>
    </row>
    <row r="4" spans="1:10" ht="30" customHeight="1">
      <c r="A4" s="13"/>
      <c r="B4" s="22" t="s">
        <v>21</v>
      </c>
      <c r="C4" s="22" t="s">
        <v>5</v>
      </c>
      <c r="D4" s="23">
        <v>3</v>
      </c>
      <c r="E4" s="23" t="str">
        <f>IFERROR(VLOOKUP(InventoryPickList[[#This Row],[SKU]],InventoryList[],6,FALSE),"")</f>
        <v/>
      </c>
      <c r="F4" s="22" t="str">
        <f>IFERROR(VLOOKUP(InventoryPickList[[#This Row],[SKU]],InventoryList[],2,FALSE),"")</f>
        <v/>
      </c>
      <c r="G4" s="22" t="str">
        <f>IFERROR(VLOOKUP(InventoryPickList[[#This Row],[SKU]],InventoryList[],5,FALSE),"")</f>
        <v/>
      </c>
      <c r="H4" s="22" t="str">
        <f>IFERROR(VLOOKUP(InventoryPickList[[#This Row],[SKU]],InventoryList[],3,FALSE),"")</f>
        <v/>
      </c>
      <c r="I4" s="22" t="str">
        <f>IFERROR(VLOOKUP(InventoryPickList[[#This Row],[SKU]],InventoryList[],4,FALSE),"")</f>
        <v/>
      </c>
      <c r="J4" s="13"/>
    </row>
    <row r="5" spans="1:10" ht="30" customHeight="1">
      <c r="A5" s="13"/>
      <c r="B5" s="22" t="s">
        <v>21</v>
      </c>
      <c r="C5" s="22" t="s">
        <v>9</v>
      </c>
      <c r="D5" s="23">
        <v>1</v>
      </c>
      <c r="E5" s="23" t="str">
        <f>IFERROR(VLOOKUP(InventoryPickList[[#This Row],[SKU]],InventoryList[],6,FALSE),"")</f>
        <v/>
      </c>
      <c r="F5" s="22" t="str">
        <f>IFERROR(VLOOKUP(InventoryPickList[[#This Row],[SKU]],InventoryList[],2,FALSE),"")</f>
        <v/>
      </c>
      <c r="G5" s="22" t="str">
        <f>IFERROR(VLOOKUP(InventoryPickList[[#This Row],[SKU]],InventoryList[],5,FALSE),"")</f>
        <v/>
      </c>
      <c r="H5" s="22" t="str">
        <f>IFERROR(VLOOKUP(InventoryPickList[[#This Row],[SKU]],InventoryList[],3,FALSE),"")</f>
        <v/>
      </c>
      <c r="I5" s="22" t="str">
        <f>IFERROR(VLOOKUP(InventoryPickList[[#This Row],[SKU]],InventoryList[],4,FALSE),"")</f>
        <v/>
      </c>
      <c r="J5" s="13"/>
    </row>
    <row r="6" spans="1:10" ht="30" customHeight="1">
      <c r="A6" s="13"/>
      <c r="B6" s="22" t="s">
        <v>21</v>
      </c>
      <c r="C6" s="22" t="s">
        <v>12</v>
      </c>
      <c r="D6" s="23">
        <v>2</v>
      </c>
      <c r="E6" s="23" t="str">
        <f>IFERROR(VLOOKUP(InventoryPickList[[#This Row],[SKU]],InventoryList[],6,FALSE),"")</f>
        <v/>
      </c>
      <c r="F6" s="22" t="str">
        <f>IFERROR(VLOOKUP(InventoryPickList[[#This Row],[SKU]],InventoryList[],2,FALSE),"")</f>
        <v/>
      </c>
      <c r="G6" s="22" t="str">
        <f>IFERROR(VLOOKUP(InventoryPickList[[#This Row],[SKU]],InventoryList[],5,FALSE),"")</f>
        <v/>
      </c>
      <c r="H6" s="22" t="str">
        <f>IFERROR(VLOOKUP(InventoryPickList[[#This Row],[SKU]],InventoryList[],3,FALSE),"")</f>
        <v/>
      </c>
      <c r="I6" s="22" t="str">
        <f>IFERROR(VLOOKUP(InventoryPickList[[#This Row],[SKU]],InventoryList[],4,FALSE),"")</f>
        <v/>
      </c>
      <c r="J6" s="13"/>
    </row>
    <row r="7" spans="1:10" ht="30" customHeight="1">
      <c r="A7" s="13"/>
      <c r="B7" s="22" t="s">
        <v>21</v>
      </c>
      <c r="C7" s="22" t="s">
        <v>15</v>
      </c>
      <c r="D7" s="23">
        <v>6</v>
      </c>
      <c r="E7" s="23" t="str">
        <f>IFERROR(VLOOKUP(InventoryPickList[[#This Row],[SKU]],InventoryList[],6,FALSE),"")</f>
        <v/>
      </c>
      <c r="F7" s="22" t="str">
        <f>IFERROR(VLOOKUP(InventoryPickList[[#This Row],[SKU]],InventoryList[],2,FALSE),"")</f>
        <v/>
      </c>
      <c r="G7" s="22" t="str">
        <f>IFERROR(VLOOKUP(InventoryPickList[[#This Row],[SKU]],InventoryList[],5,FALSE),"")</f>
        <v/>
      </c>
      <c r="H7" s="22" t="str">
        <f>IFERROR(VLOOKUP(InventoryPickList[[#This Row],[SKU]],InventoryList[],3,FALSE),"")</f>
        <v/>
      </c>
      <c r="I7" s="22" t="str">
        <f>IFERROR(VLOOKUP(InventoryPickList[[#This Row],[SKU]],InventoryList[],4,FALSE),"")</f>
        <v/>
      </c>
      <c r="J7" s="13"/>
    </row>
    <row r="8" spans="1:10" ht="30" customHeight="1">
      <c r="A8" s="13"/>
      <c r="B8" s="22" t="s">
        <v>21</v>
      </c>
      <c r="C8" s="22" t="s">
        <v>7</v>
      </c>
      <c r="D8" s="23">
        <v>3</v>
      </c>
      <c r="E8" s="23" t="str">
        <f>IFERROR(VLOOKUP(InventoryPickList[[#This Row],[SKU]],InventoryList[],6,FALSE),"")</f>
        <v/>
      </c>
      <c r="F8" s="22" t="str">
        <f>IFERROR(VLOOKUP(InventoryPickList[[#This Row],[SKU]],InventoryList[],2,FALSE),"")</f>
        <v/>
      </c>
      <c r="G8" s="22" t="str">
        <f>IFERROR(VLOOKUP(InventoryPickList[[#This Row],[SKU]],InventoryList[],5,FALSE),"")</f>
        <v/>
      </c>
      <c r="H8" s="22" t="str">
        <f>IFERROR(VLOOKUP(InventoryPickList[[#This Row],[SKU]],InventoryList[],3,FALSE),"")</f>
        <v/>
      </c>
      <c r="I8" s="22" t="str">
        <f>IFERROR(VLOOKUP(InventoryPickList[[#This Row],[SKU]],InventoryList[],4,FALSE),"")</f>
        <v/>
      </c>
      <c r="J8" s="13"/>
    </row>
    <row r="9" spans="1:10" ht="30" customHeight="1">
      <c r="A9" s="13"/>
      <c r="B9" s="13"/>
      <c r="C9" s="13"/>
      <c r="D9" s="13"/>
      <c r="E9" s="13"/>
      <c r="F9" s="13"/>
      <c r="G9" s="13"/>
      <c r="H9" s="13"/>
      <c r="I9" s="13"/>
      <c r="J9" s="13"/>
    </row>
  </sheetData>
  <mergeCells count="1">
    <mergeCell ref="B1:H1"/>
  </mergeCells>
  <conditionalFormatting sqref="E4:E8">
    <cfRule type="expression" dxfId="21" priority="7">
      <formula>D4&gt;E4</formula>
    </cfRule>
  </conditionalFormatting>
  <dataValidations xWindow="40" yWindow="335" count="13">
    <dataValidation allowBlank="1" showInputMessage="1" showErrorMessage="1" prompt="Use Inventory pick list to track quantity of each SKU needed to fulfill orders. Clear pick list table in cell B3. Navigate to Inventory List worksheet in cell I1" sqref="A1" xr:uid="{00000000-0002-0000-0100-000000000000}"/>
    <dataValidation allowBlank="1" showInputMessage="1" showErrorMessage="1" prompt="Enter order number in this column" sqref="B3" xr:uid="{00000000-0002-0000-0100-000001000000}"/>
    <dataValidation allowBlank="1" showInputMessage="1" showErrorMessage="1" prompt="Select the SKU from the dropdown list. Press ALT+DOWN ARROW to open the dropdown list then press ENTER to choose one of the items" sqref="C3" xr:uid="{00000000-0002-0000-0100-000002000000}"/>
    <dataValidation allowBlank="1" showInputMessage="1" showErrorMessage="1" prompt="Enter pick quantity of items in this column" sqref="D3" xr:uid="{00000000-0002-0000-0100-000003000000}"/>
    <dataValidation allowBlank="1" showInputMessage="1" showErrorMessage="1" prompt="Quantity available for each item is automatically calculated in this column" sqref="E3" xr:uid="{00000000-0002-0000-0100-000004000000}"/>
    <dataValidation allowBlank="1" showInputMessage="1" showErrorMessage="1" prompt="Item description is automatically updated in this column" sqref="F3" xr:uid="{00000000-0002-0000-0100-000005000000}"/>
    <dataValidation allowBlank="1" showInputMessage="1" showErrorMessage="1" prompt="Unit is automatically updated in this column" sqref="G3" xr:uid="{00000000-0002-0000-0100-000006000000}"/>
    <dataValidation allowBlank="1" showInputMessage="1" showErrorMessage="1" prompt="Bin number is automatically updated in this column" sqref="H3" xr:uid="{00000000-0002-0000-0100-000007000000}"/>
    <dataValidation allowBlank="1" showInputMessage="1" showErrorMessage="1" prompt="Location is automatically updated in this column" sqref="I3" xr:uid="{00000000-0002-0000-0100-000008000000}"/>
    <dataValidation type="custom" allowBlank="1" showInputMessage="1" showErrorMessage="1" errorTitle="Whoops!" error="The quantity entered exceeds the Quantity Available. " sqref="D5:D8" xr:uid="{00000000-0002-0000-0100-000009000000}">
      <formula1>D5&lt;=E5</formula1>
    </dataValidation>
    <dataValidation type="custom" allowBlank="1" showInputMessage="1" showErrorMessage="1" error="The quantity entered exceeds the Quantity Available. Enter a PICK QTY less than the QTY AVAILABLE" sqref="D4" xr:uid="{00000000-0002-0000-0100-00000A000000}">
      <formula1>D4&lt;=E4</formula1>
    </dataValidation>
    <dataValidation allowBlank="1" showInputMessage="1" showErrorMessage="1" prompt="Navigation link to Inventory List worksheet" sqref="I1" xr:uid="{00000000-0002-0000-0100-00000C000000}"/>
    <dataValidation type="list" errorStyle="warning" allowBlank="1" showErrorMessage="1" error="Entry isn't from List. Select CANCEL, then press ALT+DOWN ARROW to open drop-down list and ENTER to make selection" sqref="C4:C8" xr:uid="{00000000-0002-0000-0100-00000D000000}">
      <formula1>SKULookup</formula1>
    </dataValidation>
  </dataValidations>
  <printOptions horizontalCentered="1"/>
  <pageMargins left="0.25" right="0.25" top="0.75" bottom="0.75" header="0.3" footer="0.3"/>
  <pageSetup scale="75" fitToHeight="0" orientation="landscape" r:id="rId1"/>
  <headerFooter differentFirst="1">
    <oddFooter>Page &amp;P of &amp;N</oddFoot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tBinLookup">
    <tabColor theme="9" tint="-0.249977111117893"/>
    <pageSetUpPr autoPageBreaks="0"/>
  </sheetPr>
  <dimension ref="A1:H11"/>
  <sheetViews>
    <sheetView showGridLines="0" zoomScaleNormal="100" workbookViewId="0"/>
  </sheetViews>
  <sheetFormatPr baseColWidth="10" defaultColWidth="8.875" defaultRowHeight="30" customHeight="1"/>
  <cols>
    <col min="1" max="1" width="5.4375" customWidth="1"/>
    <col min="2" max="2" width="23.125" customWidth="1"/>
    <col min="3" max="4" width="22" customWidth="1"/>
    <col min="5" max="7" width="16.4375" customWidth="1"/>
    <col min="8" max="8" width="5.4375" customWidth="1"/>
  </cols>
  <sheetData>
    <row r="1" spans="1:8" ht="90" customHeight="1">
      <c r="A1" s="17"/>
      <c r="B1" s="19" t="s">
        <v>22</v>
      </c>
      <c r="C1" s="18"/>
      <c r="D1" s="18"/>
      <c r="E1" s="18"/>
      <c r="F1" s="18"/>
      <c r="G1" s="18"/>
      <c r="H1" s="17"/>
    </row>
    <row r="2" spans="1:8" ht="44" customHeight="1">
      <c r="A2" s="17"/>
      <c r="B2" s="17"/>
      <c r="C2" s="17"/>
      <c r="D2" s="17"/>
      <c r="E2" s="17"/>
      <c r="F2" s="17"/>
      <c r="G2" s="17"/>
      <c r="H2" s="17"/>
    </row>
    <row r="3" spans="1:8" ht="30" customHeight="1">
      <c r="A3" s="17"/>
      <c r="B3" s="24" t="s">
        <v>2</v>
      </c>
      <c r="C3" s="24" t="s">
        <v>1</v>
      </c>
      <c r="D3" s="24" t="s">
        <v>3</v>
      </c>
      <c r="E3" s="25" t="s">
        <v>23</v>
      </c>
      <c r="F3" s="25" t="s">
        <v>24</v>
      </c>
      <c r="G3" s="25" t="s">
        <v>25</v>
      </c>
      <c r="H3" s="17"/>
    </row>
    <row r="4" spans="1:8" ht="30" customHeight="1">
      <c r="A4" s="17"/>
      <c r="B4" s="26" t="s">
        <v>6</v>
      </c>
      <c r="C4" s="26" t="s">
        <v>26</v>
      </c>
      <c r="D4" s="26" t="s">
        <v>27</v>
      </c>
      <c r="E4" s="27">
        <v>50</v>
      </c>
      <c r="F4" s="27">
        <v>10</v>
      </c>
      <c r="G4" s="27">
        <v>10</v>
      </c>
      <c r="H4" s="17"/>
    </row>
    <row r="5" spans="1:8" ht="30" customHeight="1">
      <c r="A5" s="17"/>
      <c r="B5" s="26" t="s">
        <v>8</v>
      </c>
      <c r="C5" s="26" t="s">
        <v>28</v>
      </c>
      <c r="D5" s="26" t="s">
        <v>29</v>
      </c>
      <c r="E5" s="27">
        <v>25</v>
      </c>
      <c r="F5" s="27">
        <v>5</v>
      </c>
      <c r="G5" s="27">
        <v>5</v>
      </c>
      <c r="H5" s="17"/>
    </row>
    <row r="6" spans="1:8" ht="30" customHeight="1">
      <c r="A6" s="17"/>
      <c r="B6" s="26" t="s">
        <v>10</v>
      </c>
      <c r="C6" s="26" t="s">
        <v>26</v>
      </c>
      <c r="D6" s="26" t="s">
        <v>30</v>
      </c>
      <c r="E6" s="27">
        <v>50</v>
      </c>
      <c r="F6" s="27">
        <v>10</v>
      </c>
      <c r="G6" s="27">
        <v>10</v>
      </c>
      <c r="H6" s="17"/>
    </row>
    <row r="7" spans="1:8" ht="30" customHeight="1">
      <c r="A7" s="17"/>
      <c r="B7" s="26" t="s">
        <v>11</v>
      </c>
      <c r="C7" s="26" t="s">
        <v>31</v>
      </c>
      <c r="D7" s="26" t="s">
        <v>32</v>
      </c>
      <c r="E7" s="27">
        <v>30</v>
      </c>
      <c r="F7" s="27">
        <v>7</v>
      </c>
      <c r="G7" s="27">
        <v>10</v>
      </c>
      <c r="H7" s="17"/>
    </row>
    <row r="8" spans="1:8" ht="30" customHeight="1">
      <c r="A8" s="17"/>
      <c r="B8" s="26" t="s">
        <v>13</v>
      </c>
      <c r="C8" s="26" t="s">
        <v>28</v>
      </c>
      <c r="D8" s="26" t="s">
        <v>33</v>
      </c>
      <c r="E8" s="27">
        <v>25</v>
      </c>
      <c r="F8" s="27">
        <v>5</v>
      </c>
      <c r="G8" s="27">
        <v>5</v>
      </c>
      <c r="H8" s="17"/>
    </row>
    <row r="9" spans="1:8" ht="30" customHeight="1">
      <c r="A9" s="17"/>
      <c r="B9" s="26" t="s">
        <v>8</v>
      </c>
      <c r="C9" s="26" t="s">
        <v>26</v>
      </c>
      <c r="D9" s="26" t="s">
        <v>34</v>
      </c>
      <c r="E9" s="27">
        <v>50</v>
      </c>
      <c r="F9" s="27">
        <v>10</v>
      </c>
      <c r="G9" s="27">
        <v>10</v>
      </c>
      <c r="H9" s="17"/>
    </row>
    <row r="10" spans="1:8" ht="30" customHeight="1">
      <c r="A10" s="17"/>
      <c r="B10" s="26" t="s">
        <v>14</v>
      </c>
      <c r="C10" s="26" t="s">
        <v>26</v>
      </c>
      <c r="D10" s="26" t="s">
        <v>35</v>
      </c>
      <c r="E10" s="27">
        <v>50</v>
      </c>
      <c r="F10" s="27">
        <v>10</v>
      </c>
      <c r="G10" s="27">
        <v>10</v>
      </c>
      <c r="H10" s="17"/>
    </row>
    <row r="11" spans="1:8" ht="30" customHeight="1">
      <c r="A11" s="17"/>
      <c r="B11" s="17"/>
      <c r="C11" s="17"/>
      <c r="D11" s="17"/>
      <c r="E11" s="17"/>
      <c r="F11" s="17"/>
      <c r="G11" s="17"/>
      <c r="H11" s="17"/>
    </row>
  </sheetData>
  <dataValidations count="8">
    <dataValidation allowBlank="1" showInputMessage="1" showErrorMessage="1" prompt="This worksheet has a table that provides data for the inventory list and inventory pick list worksheets. A navigation link to Inventory List worksheet is in cell G1" sqref="A1" xr:uid="{00000000-0002-0000-0200-000000000000}"/>
    <dataValidation allowBlank="1" showInputMessage="1" showErrorMessage="1" prompt="Enter the bin number in this column" sqref="B3" xr:uid="{00000000-0002-0000-0200-000001000000}"/>
    <dataValidation allowBlank="1" showInputMessage="1" showErrorMessage="1" prompt="Enter a description of bin in this column" sqref="C3" xr:uid="{00000000-0002-0000-0200-000002000000}"/>
    <dataValidation allowBlank="1" showInputMessage="1" showErrorMessage="1" prompt="Enter the location of bin in this column" sqref="D3" xr:uid="{00000000-0002-0000-0200-000003000000}"/>
    <dataValidation allowBlank="1" showInputMessage="1" showErrorMessage="1" prompt="Enter width of bin in this column" sqref="E3" xr:uid="{00000000-0002-0000-0200-000004000000}"/>
    <dataValidation allowBlank="1" showInputMessage="1" showErrorMessage="1" prompt="Enter height of bin in this column" sqref="F3" xr:uid="{00000000-0002-0000-0200-000005000000}"/>
    <dataValidation allowBlank="1" showInputMessage="1" showErrorMessage="1" prompt="Enter length of bin in this column" sqref="G3" xr:uid="{00000000-0002-0000-0200-000006000000}"/>
    <dataValidation allowBlank="1" showInputMessage="1" showErrorMessage="1" prompt="Navigation link to Inventory List worksheet" sqref="G1" xr:uid="{00000000-0002-0000-0200-000007000000}"/>
  </dataValidations>
  <printOptions horizontalCentered="1"/>
  <pageMargins left="0.25" right="0.25" top="0.75" bottom="0.75" header="0.3" footer="0.3"/>
  <pageSetup orientation="landscape" r:id="rId1"/>
  <headerFooter differentFirst="1">
    <oddFooter>Page &amp;P of &amp;N</oddFooter>
  </headerFooter>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6" ma:contentTypeDescription="Create a new document." ma:contentTypeScope="" ma:versionID="ac37c1753acd5e330d2062ccec26ea66">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340c7101c92c5120abd06486f9454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A98DBD-B679-4319-B0FF-3C12520821D5}">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2.xml><?xml version="1.0" encoding="utf-8"?>
<ds:datastoreItem xmlns:ds="http://schemas.openxmlformats.org/officeDocument/2006/customXml" ds:itemID="{DDA8ADD4-2650-4015-AAD2-9708EAB59F22}">
  <ds:schemaRefs>
    <ds:schemaRef ds:uri="http://schemas.microsoft.com/sharepoint/v3/contenttype/forms"/>
  </ds:schemaRefs>
</ds:datastoreItem>
</file>

<file path=customXml/itemProps3.xml><?xml version="1.0" encoding="utf-8"?>
<ds:datastoreItem xmlns:ds="http://schemas.openxmlformats.org/officeDocument/2006/customXml" ds:itemID="{37AC0165-E0E2-4617-A70E-905BDEC14DE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TM02930030</Template>
  <Application>Microsoft Excel</Application>
  <DocSecurity>0</DocSecurity>
  <ScaleCrop>false</ScaleCrop>
  <HeadingPairs>
    <vt:vector size="4" baseType="variant">
      <vt:variant>
        <vt:lpstr>Feuilles de calcul</vt:lpstr>
      </vt:variant>
      <vt:variant>
        <vt:i4>3</vt:i4>
      </vt:variant>
      <vt:variant>
        <vt:lpstr>Plages nommées</vt:lpstr>
      </vt:variant>
      <vt:variant>
        <vt:i4>8</vt:i4>
      </vt:variant>
    </vt:vector>
  </HeadingPairs>
  <TitlesOfParts>
    <vt:vector size="11" baseType="lpstr">
      <vt:lpstr>Inventory list</vt:lpstr>
      <vt:lpstr>Inventory pick list</vt:lpstr>
      <vt:lpstr>Bin lookup</vt:lpstr>
      <vt:lpstr>BinNumber</vt:lpstr>
      <vt:lpstr>ColumnTitle1</vt:lpstr>
      <vt:lpstr>ColumnTitle2</vt:lpstr>
      <vt:lpstr>ColumnTitle3</vt:lpstr>
      <vt:lpstr>'Bin lookup'!Impression_des_titres</vt:lpstr>
      <vt:lpstr>'Inventory list'!Impression_des_titres</vt:lpstr>
      <vt:lpstr>'Inventory pick list'!Impression_des_titres</vt:lpstr>
      <vt:lpstr>SKULookup</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2023-05-22T06:26:20Z</dcterms:created>
  <dcterms:modified xsi:type="dcterms:W3CDTF">2026-05-25T13:15:06Z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